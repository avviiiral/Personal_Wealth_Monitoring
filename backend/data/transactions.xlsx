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WMS\backend\data\"/>
    </mc:Choice>
  </mc:AlternateContent>
  <xr:revisionPtr revIDLastSave="0" documentId="13_ncr:1_{7DB78E99-BCBA-4EA2-A588-05FE947D15A3}" xr6:coauthVersionLast="47" xr6:coauthVersionMax="47" xr10:uidLastSave="{00000000-0000-0000-0000-000000000000}"/>
  <bookViews>
    <workbookView xWindow="-110" yWindow="-110" windowWidth="19420" windowHeight="10300" firstSheet="2" activeTab="2" xr2:uid="{EF3E2500-DA9F-4B00-9FD1-12C576E189BD}"/>
  </bookViews>
  <sheets>
    <sheet name="Summary" sheetId="1" state="hidden" r:id="rId1"/>
    <sheet name="Detail" sheetId="3" state="hidden" r:id="rId2"/>
    <sheet name="Transactions" sheetId="9" r:id="rId3"/>
  </sheets>
  <definedNames>
    <definedName name="_xlnm._FilterDatabase" localSheetId="1" hidden="1">Detail!$A$2:$K$95</definedName>
    <definedName name="_xlnm._FilterDatabase" localSheetId="0" hidden="1">Summary!$A$2:$F$95</definedName>
    <definedName name="_xlnm._FilterDatabase" localSheetId="2" hidden="1">Transactions!$A$1:$L$519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71" i="9" l="1"/>
  <c r="G173" i="9"/>
  <c r="G174" i="9"/>
  <c r="G175" i="9"/>
  <c r="G176" i="9"/>
  <c r="G178" i="9"/>
  <c r="G179" i="9"/>
  <c r="G180" i="9"/>
  <c r="G181" i="9"/>
  <c r="G183" i="9"/>
  <c r="G185" i="9"/>
  <c r="G187" i="9"/>
  <c r="G188" i="9"/>
  <c r="G189" i="9"/>
  <c r="G192" i="9"/>
  <c r="G194" i="9"/>
  <c r="G197" i="9"/>
  <c r="G198" i="9"/>
  <c r="G199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8" i="9"/>
  <c r="G229" i="9"/>
  <c r="G230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9" i="9"/>
  <c r="G270" i="9"/>
  <c r="G271" i="9"/>
  <c r="G272" i="9"/>
  <c r="G273" i="9"/>
  <c r="G274" i="9"/>
  <c r="G275" i="9"/>
  <c r="G276" i="9"/>
  <c r="G277" i="9"/>
  <c r="G279" i="9"/>
  <c r="G280" i="9"/>
  <c r="G281" i="9"/>
  <c r="G282" i="9"/>
  <c r="G283" i="9"/>
  <c r="G284" i="9"/>
  <c r="G285" i="9"/>
  <c r="G286" i="9"/>
  <c r="G288" i="9"/>
  <c r="G289" i="9"/>
  <c r="G290" i="9"/>
  <c r="G291" i="9"/>
  <c r="G292" i="9"/>
  <c r="G293" i="9"/>
  <c r="G294" i="9"/>
  <c r="G295" i="9"/>
  <c r="G296" i="9"/>
  <c r="G297" i="9"/>
  <c r="G299" i="9"/>
  <c r="G301" i="9"/>
  <c r="G303" i="9"/>
  <c r="G305" i="9"/>
  <c r="G306" i="9"/>
  <c r="G307" i="9"/>
  <c r="G308" i="9"/>
  <c r="G310" i="9"/>
  <c r="G311" i="9"/>
  <c r="G312" i="9"/>
  <c r="G314" i="9"/>
  <c r="G315" i="9"/>
  <c r="G316" i="9"/>
  <c r="G317" i="9"/>
  <c r="G318" i="9"/>
  <c r="G320" i="9"/>
  <c r="G321" i="9"/>
  <c r="G323" i="9"/>
  <c r="G324" i="9"/>
  <c r="G325" i="9"/>
  <c r="G326" i="9"/>
  <c r="G327" i="9"/>
  <c r="G328" i="9"/>
  <c r="G329" i="9"/>
  <c r="G330" i="9"/>
  <c r="G332" i="9"/>
  <c r="G333" i="9"/>
  <c r="G334" i="9"/>
  <c r="G335" i="9"/>
  <c r="G336" i="9"/>
  <c r="G337" i="9"/>
  <c r="G338" i="9"/>
  <c r="G339" i="9"/>
  <c r="G340" i="9"/>
  <c r="G341" i="9"/>
  <c r="G2" i="9"/>
  <c r="G3" i="9"/>
  <c r="G6" i="9"/>
  <c r="G7" i="9"/>
  <c r="G9" i="9"/>
  <c r="G10" i="9"/>
  <c r="G14" i="9"/>
  <c r="G15" i="9"/>
  <c r="G16" i="9"/>
  <c r="G17" i="9"/>
  <c r="G18" i="9"/>
  <c r="G19" i="9"/>
  <c r="G20" i="9"/>
  <c r="G22" i="9"/>
  <c r="G23" i="9"/>
  <c r="G24" i="9"/>
  <c r="G25" i="9"/>
  <c r="G26" i="9"/>
  <c r="G27" i="9"/>
  <c r="G28" i="9"/>
  <c r="G29" i="9"/>
  <c r="G30" i="9"/>
  <c r="G31" i="9"/>
  <c r="G33" i="9"/>
  <c r="G35" i="9"/>
  <c r="G36" i="9"/>
  <c r="G38" i="9"/>
  <c r="G40" i="9"/>
  <c r="G41" i="9"/>
  <c r="G42" i="9"/>
  <c r="G43" i="9"/>
  <c r="G45" i="9"/>
  <c r="G46" i="9"/>
  <c r="G47" i="9"/>
  <c r="G48" i="9"/>
  <c r="G50" i="9"/>
  <c r="G54" i="9"/>
  <c r="G56" i="9"/>
  <c r="G57" i="9"/>
  <c r="G58" i="9"/>
  <c r="G60" i="9"/>
  <c r="G61" i="9"/>
  <c r="G64" i="9"/>
  <c r="G65" i="9"/>
  <c r="G66" i="9"/>
  <c r="G67" i="9"/>
  <c r="G68" i="9"/>
  <c r="G69" i="9"/>
  <c r="G71" i="9"/>
  <c r="G72" i="9"/>
  <c r="G73" i="9"/>
  <c r="G75" i="9"/>
  <c r="G76" i="9"/>
  <c r="G79" i="9"/>
  <c r="G80" i="9"/>
  <c r="G81" i="9"/>
  <c r="G83" i="9"/>
  <c r="G85" i="9"/>
  <c r="G86" i="9"/>
  <c r="G87" i="9"/>
  <c r="G88" i="9"/>
  <c r="G89" i="9"/>
  <c r="G90" i="9"/>
  <c r="G91" i="9"/>
  <c r="G92" i="9"/>
  <c r="G93" i="9"/>
  <c r="G94" i="9"/>
  <c r="G95" i="9"/>
  <c r="G98" i="9"/>
  <c r="G99" i="9"/>
  <c r="G101" i="9"/>
  <c r="G102" i="9"/>
  <c r="G103" i="9"/>
  <c r="G104" i="9"/>
  <c r="G106" i="9"/>
  <c r="G107" i="9"/>
  <c r="G108" i="9"/>
  <c r="G109" i="9"/>
  <c r="G110" i="9"/>
  <c r="G112" i="9"/>
  <c r="G113" i="9"/>
  <c r="G114" i="9"/>
  <c r="G115" i="9"/>
  <c r="G116" i="9"/>
  <c r="G117" i="9"/>
  <c r="G118" i="9"/>
  <c r="G120" i="9"/>
  <c r="G121" i="9"/>
  <c r="G122" i="9"/>
  <c r="G123" i="9"/>
  <c r="G124" i="9"/>
  <c r="G125" i="9"/>
  <c r="G126" i="9"/>
  <c r="G127" i="9"/>
  <c r="G130" i="9"/>
  <c r="G131" i="9"/>
  <c r="G132" i="9"/>
  <c r="K170" i="9" l="1"/>
  <c r="L170" i="9" s="1"/>
  <c r="K169" i="9"/>
  <c r="L169" i="9" s="1"/>
  <c r="H3" i="3" l="1"/>
</calcChain>
</file>

<file path=xl/sharedStrings.xml><?xml version="1.0" encoding="utf-8"?>
<sst xmlns="http://schemas.openxmlformats.org/spreadsheetml/2006/main" count="4879" uniqueCount="239">
  <si>
    <t>Family Name</t>
  </si>
  <si>
    <t>Portfolio Name</t>
  </si>
  <si>
    <t>Asset Class</t>
  </si>
  <si>
    <t>Asset Name</t>
  </si>
  <si>
    <t>ISIN</t>
  </si>
  <si>
    <t xml:space="preserve">Quantity </t>
  </si>
  <si>
    <t>Avg. Purchase Price</t>
  </si>
  <si>
    <t xml:space="preserve">Amount Invested </t>
  </si>
  <si>
    <t xml:space="preserve">Current Price </t>
  </si>
  <si>
    <t xml:space="preserve">Current Value </t>
  </si>
  <si>
    <t>DAJ</t>
  </si>
  <si>
    <t>AIF</t>
  </si>
  <si>
    <t>Traded Bonds</t>
  </si>
  <si>
    <t>AXIS Bank</t>
  </si>
  <si>
    <t>INE238A01034</t>
  </si>
  <si>
    <t>Canara Bank</t>
  </si>
  <si>
    <t>INE476A01022</t>
  </si>
  <si>
    <t>Jindal Stainless</t>
  </si>
  <si>
    <t>INE220G01021</t>
  </si>
  <si>
    <t>Max Financial Services</t>
  </si>
  <si>
    <t>INE180A01020</t>
  </si>
  <si>
    <t>One 97 Communications</t>
  </si>
  <si>
    <t>INE982J01020</t>
  </si>
  <si>
    <t>Aditya Birla Capital</t>
  </si>
  <si>
    <t>INE674K01013</t>
  </si>
  <si>
    <t>Aurobindo Pharma</t>
  </si>
  <si>
    <t>INE406A01037</t>
  </si>
  <si>
    <t>Bharti Airtel</t>
  </si>
  <si>
    <t>INE397D01024</t>
  </si>
  <si>
    <t>Biocon Limited</t>
  </si>
  <si>
    <t>INE376G01013</t>
  </si>
  <si>
    <t>Cyient Limited</t>
  </si>
  <si>
    <t>INE136B01020</t>
  </si>
  <si>
    <t>Dr Lal Pathlabs</t>
  </si>
  <si>
    <t>INE600L01024</t>
  </si>
  <si>
    <t>Endurance Technologies</t>
  </si>
  <si>
    <t>INE913H01037</t>
  </si>
  <si>
    <t>Gland Pharma</t>
  </si>
  <si>
    <t>INE068V01023</t>
  </si>
  <si>
    <t>ICICI Bank</t>
  </si>
  <si>
    <t>INE090A01021</t>
  </si>
  <si>
    <t>Interglobe Aviation</t>
  </si>
  <si>
    <t>INE646L01027</t>
  </si>
  <si>
    <t>Kalyan Jewellers India</t>
  </si>
  <si>
    <t>INE303R01014</t>
  </si>
  <si>
    <t>Larsen &amp; Toubro</t>
  </si>
  <si>
    <t>INE018A01030</t>
  </si>
  <si>
    <t>LG Electronics India</t>
  </si>
  <si>
    <t>INE324D01010</t>
  </si>
  <si>
    <t>LTM Limited</t>
  </si>
  <si>
    <t>INE214T01019</t>
  </si>
  <si>
    <t>Page Industries</t>
  </si>
  <si>
    <t>INE761H01022</t>
  </si>
  <si>
    <t>Persistent Systems</t>
  </si>
  <si>
    <t>INE262H01021</t>
  </si>
  <si>
    <t>Poly Medicure</t>
  </si>
  <si>
    <t>INE205C01021</t>
  </si>
  <si>
    <t>Star Health &amp; Allied Insurance Company</t>
  </si>
  <si>
    <t>INE575P01011</t>
  </si>
  <si>
    <t>Sun Pharmaceutical</t>
  </si>
  <si>
    <t>INE044A01036</t>
  </si>
  <si>
    <t>Tata Motors</t>
  </si>
  <si>
    <t>INE1TAE01010</t>
  </si>
  <si>
    <t>Tata Motors Passenger Vehicles</t>
  </si>
  <si>
    <t>INE155A01022</t>
  </si>
  <si>
    <t>Tata Technologies</t>
  </si>
  <si>
    <t>INE142M01025</t>
  </si>
  <si>
    <t>Tech Mahindra</t>
  </si>
  <si>
    <t>INE669C01036</t>
  </si>
  <si>
    <t>Bajaj Finance</t>
  </si>
  <si>
    <t>INE296A01032</t>
  </si>
  <si>
    <t>SBFC Finance</t>
  </si>
  <si>
    <t>INE423Y01016</t>
  </si>
  <si>
    <t>Sovereign Gold Bond 2.50% JUN 2029 SR-II 2021-22 (IN0020210061)</t>
  </si>
  <si>
    <t>IN0020210061</t>
  </si>
  <si>
    <t>Shriram Finance</t>
  </si>
  <si>
    <t>INE721A01047</t>
  </si>
  <si>
    <t>State Bank Of India</t>
  </si>
  <si>
    <t>INE062A01020</t>
  </si>
  <si>
    <t>Tata Power Company</t>
  </si>
  <si>
    <t>INE245A01021</t>
  </si>
  <si>
    <t>BANDHAN Dynamic Bond Fund-Direct Plan-Growth</t>
  </si>
  <si>
    <t>INF194K01N63</t>
  </si>
  <si>
    <t>ICICI Prudential Liquid Fund - Direct Plan - Growth</t>
  </si>
  <si>
    <t>INF109K01Q49</t>
  </si>
  <si>
    <t>Kotak Liquid - Growth - Direct</t>
  </si>
  <si>
    <t>INF174K01NE8</t>
  </si>
  <si>
    <t>HDFC Focused Fund - Growth Option - Direct Plan</t>
  </si>
  <si>
    <t>INF179K01VK7</t>
  </si>
  <si>
    <t>Cube Highways InvIT</t>
  </si>
  <si>
    <t>INE0NR623014</t>
  </si>
  <si>
    <t>Knowledge Realty Trust</t>
  </si>
  <si>
    <t>INE1JAR25012</t>
  </si>
  <si>
    <t>ITC Hotels</t>
  </si>
  <si>
    <t>INE379A01028</t>
  </si>
  <si>
    <t>ITC Limited</t>
  </si>
  <si>
    <t>INE154A01025</t>
  </si>
  <si>
    <t>JSW Energy</t>
  </si>
  <si>
    <t>INE121E01018</t>
  </si>
  <si>
    <t>JSW Infrastructure</t>
  </si>
  <si>
    <t>INE880J01026</t>
  </si>
  <si>
    <t>Trent Limited</t>
  </si>
  <si>
    <t>INE849A01020</t>
  </si>
  <si>
    <t>Mt.K Capital Fund Category II</t>
  </si>
  <si>
    <t>Gold Bond</t>
  </si>
  <si>
    <t>Mutual Funds</t>
  </si>
  <si>
    <t>Debt MF</t>
  </si>
  <si>
    <t>Liquid MF</t>
  </si>
  <si>
    <t>Equity MF</t>
  </si>
  <si>
    <t>HDFC Focused Fund - Growth Option - Direct Plan\</t>
  </si>
  <si>
    <t xml:space="preserve"> CARNELIAN</t>
  </si>
  <si>
    <t>Direct Equity</t>
  </si>
  <si>
    <t>REITs</t>
  </si>
  <si>
    <t>InvITs</t>
  </si>
  <si>
    <t>REITs/InvITs</t>
  </si>
  <si>
    <t>Equity Stocks</t>
  </si>
  <si>
    <t>DJT</t>
  </si>
  <si>
    <t>Archean Chemical Industries</t>
  </si>
  <si>
    <t>INE128X01021</t>
  </si>
  <si>
    <t>Bajaj Auto</t>
  </si>
  <si>
    <t>INE917I01010</t>
  </si>
  <si>
    <t>Britannia Industries</t>
  </si>
  <si>
    <t>INE216A01030</t>
  </si>
  <si>
    <t>Dalmia Bharat</t>
  </si>
  <si>
    <t>INE00R701025</t>
  </si>
  <si>
    <t>Dilip Buildcon</t>
  </si>
  <si>
    <t>INE917M01012</t>
  </si>
  <si>
    <t>Dr. Reddy's Laboratories</t>
  </si>
  <si>
    <t>INE089A01031</t>
  </si>
  <si>
    <t>Glenmark Pharmaceuticals</t>
  </si>
  <si>
    <t>INE935A01035</t>
  </si>
  <si>
    <t>Granules India</t>
  </si>
  <si>
    <t>INE101D01020</t>
  </si>
  <si>
    <t>Hindustan Unilever</t>
  </si>
  <si>
    <t>INE030A01027</t>
  </si>
  <si>
    <t>Hyundai Motor India</t>
  </si>
  <si>
    <t>INE0V6F01027</t>
  </si>
  <si>
    <t>ICICI Lombard General Insurance Company</t>
  </si>
  <si>
    <t>INE765G01017</t>
  </si>
  <si>
    <t>Infosys</t>
  </si>
  <si>
    <t>INE009A01021</t>
  </si>
  <si>
    <t>Kaynes Technology India</t>
  </si>
  <si>
    <t>INE918Z01012</t>
  </si>
  <si>
    <t>L&amp;T Technology Services</t>
  </si>
  <si>
    <t>INE010V01017</t>
  </si>
  <si>
    <t>Ramkrishna Forgings</t>
  </si>
  <si>
    <t>INE399G01023</t>
  </si>
  <si>
    <t>Supreme Industries</t>
  </si>
  <si>
    <t>INE195A01028</t>
  </si>
  <si>
    <t>UltraTech Cement</t>
  </si>
  <si>
    <t>INE481G01011</t>
  </si>
  <si>
    <t>Varroc Engineering</t>
  </si>
  <si>
    <t>INE665L01035</t>
  </si>
  <si>
    <t>Vedanta Aluminium Metal</t>
  </si>
  <si>
    <t>INE1CDF01017</t>
  </si>
  <si>
    <t>VIP Industries</t>
  </si>
  <si>
    <t>INE054A01027</t>
  </si>
  <si>
    <t>ICICI Prudential Silver ETF</t>
  </si>
  <si>
    <t>INF109KC1Y56</t>
  </si>
  <si>
    <t>Alchemy Long Term Venture Fund - Series 2</t>
  </si>
  <si>
    <t>ICICI Prudential Arbitrage Fund - Direct Plan - Growth</t>
  </si>
  <si>
    <t>INF109K016O4</t>
  </si>
  <si>
    <t>Divi's Laboratories</t>
  </si>
  <si>
    <t>INE361B01024</t>
  </si>
  <si>
    <t>HCL Technologies</t>
  </si>
  <si>
    <t>INE860A01027</t>
  </si>
  <si>
    <t>HDFC Life Insurance Company</t>
  </si>
  <si>
    <t>INE795G01014</t>
  </si>
  <si>
    <t>Kotak Mahindra Bank</t>
  </si>
  <si>
    <t>INE237A01036</t>
  </si>
  <si>
    <t>Titan Company</t>
  </si>
  <si>
    <t>INE280A01028</t>
  </si>
  <si>
    <t>Alternate</t>
  </si>
  <si>
    <t>Unlisted Holdings</t>
  </si>
  <si>
    <t>Credilio Financial Technologies Private Limited CCPS</t>
  </si>
  <si>
    <t>Bank</t>
  </si>
  <si>
    <t>Kotak Savings A/c</t>
  </si>
  <si>
    <t>LRS</t>
  </si>
  <si>
    <t>Ashoka WhiteOak Emerging Markets Equity Ex India Fund Class A</t>
  </si>
  <si>
    <t>Arbitrage MF</t>
  </si>
  <si>
    <t xml:space="preserve"> BUOYANT</t>
  </si>
  <si>
    <t>ETF</t>
  </si>
  <si>
    <t>Silver ETF</t>
  </si>
  <si>
    <t>Kotak Current A/C</t>
  </si>
  <si>
    <t>Advisors</t>
  </si>
  <si>
    <t>360 One</t>
  </si>
  <si>
    <t>ARTHYA</t>
  </si>
  <si>
    <t>KOTAK</t>
  </si>
  <si>
    <t>DIRECT</t>
  </si>
  <si>
    <t>Date</t>
  </si>
  <si>
    <t>Trans. Type</t>
  </si>
  <si>
    <t>Quantity</t>
  </si>
  <si>
    <t>Price</t>
  </si>
  <si>
    <t>Amount</t>
  </si>
  <si>
    <t>Sell</t>
  </si>
  <si>
    <t>Buy</t>
  </si>
  <si>
    <t>Bonus</t>
  </si>
  <si>
    <t>Maruti Suzuki</t>
  </si>
  <si>
    <t>Delhivery</t>
  </si>
  <si>
    <t>Pidilite Industries</t>
  </si>
  <si>
    <t>Bandhan Bank</t>
  </si>
  <si>
    <t>GlaxoSmithkline Pharmaceuticals</t>
  </si>
  <si>
    <t>United Spirits</t>
  </si>
  <si>
    <t>Punjab National Bank</t>
  </si>
  <si>
    <t>Buyback</t>
  </si>
  <si>
    <t>Varun Beverages</t>
  </si>
  <si>
    <t>Indus Towers</t>
  </si>
  <si>
    <t>Navin Fluorine International</t>
  </si>
  <si>
    <t>Sub Class</t>
  </si>
  <si>
    <t>Underlying</t>
  </si>
  <si>
    <t>Equity PMS</t>
  </si>
  <si>
    <t>Equity</t>
  </si>
  <si>
    <t>Debt</t>
  </si>
  <si>
    <t>Commodity</t>
  </si>
  <si>
    <t>Cash</t>
  </si>
  <si>
    <t>Equity Mutual Fund</t>
  </si>
  <si>
    <t>Debt Mutual Fund</t>
  </si>
  <si>
    <t>Gold Bonds</t>
  </si>
  <si>
    <t>Commodity ETFs</t>
  </si>
  <si>
    <t>Private Equity</t>
  </si>
  <si>
    <t>Equity AIF (Category III)</t>
  </si>
  <si>
    <t>Unlisted holdings</t>
  </si>
  <si>
    <t>Carnelian Capital Compounder Strategy</t>
  </si>
  <si>
    <t>Liquid Mutual Fund</t>
  </si>
  <si>
    <t>Equity LRS</t>
  </si>
  <si>
    <t>INE148O01028</t>
  </si>
  <si>
    <t>INE545U01014</t>
  </si>
  <si>
    <t>INE159A01016</t>
  </si>
  <si>
    <t>INE585B01010</t>
  </si>
  <si>
    <t>INE318A01026</t>
  </si>
  <si>
    <t>INE160A01022</t>
  </si>
  <si>
    <t>INE854D01024</t>
  </si>
  <si>
    <t>Buoyant Opportunities PMS</t>
  </si>
  <si>
    <t>Arbitrage Mutual Fund</t>
  </si>
  <si>
    <t>INE040A01034</t>
  </si>
  <si>
    <t>INE121J01017</t>
  </si>
  <si>
    <t>INE048G01026</t>
  </si>
  <si>
    <t>INE200M01039</t>
  </si>
  <si>
    <t>Tata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</si>
</sst>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rial"/>
    </font>
    <font>
      <sz val="11"/>
      <color rgb="FF000000"/>
      <name val="Arial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Calibri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5" fillId="0" borderId="0"/>
  </cellStyleXfs>
  <cellXfs count="14">
    <xf numFmtId="0" fontId="0" fillId="0" borderId="0" xfId="0"/>
    <xf numFmtId="4" fontId="1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4" fontId="4" fillId="2" borderId="1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center"/>
    </xf>
    <xf numFmtId="0" fontId="0" fillId="0" borderId="1" xfId="0" applyBorder="1"/>
    <xf numFmtId="14" fontId="0" fillId="0" borderId="1" xfId="0" applyNumberFormat="1" applyBorder="1"/>
    <xf numFmtId="164" fontId="0" fillId="0" borderId="1" xfId="1" applyFont="1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</cellXfs>
  <cellStyles count="3">
    <cellStyle name="Comma" xfId="1" builtinId="3"/>
    <cellStyle name="Normal" xfId="0" builtinId="0"/>
    <cellStyle name="Normal 2" xfId="2" xr:uid="{E94B375E-BCEE-4616-A867-FC667A825D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1EF8-4E33-49DE-9D85-7282C7784996}">
  <dimension ref="A2:F95"/>
  <sheetViews>
    <sheetView topLeftCell="A2" workbookViewId="0">
      <pane xSplit="6" ySplit="1" topLeftCell="G3" activePane="bottomRight" state="frozen"/>
      <selection activeCell="B4" sqref="B4:E6"/>
      <selection pane="topRight" activeCell="B4" sqref="B4:E6"/>
      <selection pane="bottomLeft" activeCell="B4" sqref="B4:E6"/>
      <selection pane="bottomRight" activeCell="B4" sqref="B4:E6"/>
    </sheetView>
  </sheetViews>
  <sheetFormatPr defaultRowHeight="14.5" x14ac:dyDescent="0.35"/>
  <cols>
    <col min="1" max="1" width="13.90625" bestFit="1" customWidth="1"/>
    <col min="2" max="2" width="20.6328125" bestFit="1" customWidth="1"/>
    <col min="3" max="3" width="20.1796875" bestFit="1" customWidth="1"/>
    <col min="4" max="4" width="20.1796875" customWidth="1"/>
    <col min="5" max="5" width="49.6328125" customWidth="1"/>
    <col min="6" max="6" width="15.453125" bestFit="1" customWidth="1"/>
  </cols>
  <sheetData>
    <row r="2" spans="1:6" x14ac:dyDescent="0.35">
      <c r="A2" s="1" t="s">
        <v>0</v>
      </c>
      <c r="B2" s="1" t="s">
        <v>1</v>
      </c>
      <c r="C2" s="1" t="s">
        <v>2</v>
      </c>
      <c r="D2" s="1" t="s">
        <v>184</v>
      </c>
      <c r="E2" s="1" t="s">
        <v>3</v>
      </c>
      <c r="F2" s="1" t="s">
        <v>4</v>
      </c>
    </row>
    <row r="3" spans="1:6" x14ac:dyDescent="0.35">
      <c r="A3" s="2" t="s">
        <v>10</v>
      </c>
      <c r="B3" s="2" t="s">
        <v>11</v>
      </c>
      <c r="C3" s="2" t="s">
        <v>11</v>
      </c>
      <c r="D3" s="2" t="s">
        <v>185</v>
      </c>
      <c r="E3" s="2" t="s">
        <v>103</v>
      </c>
      <c r="F3" s="2"/>
    </row>
    <row r="4" spans="1:6" x14ac:dyDescent="0.35">
      <c r="A4" s="2" t="s">
        <v>10</v>
      </c>
      <c r="B4" s="2" t="s">
        <v>106</v>
      </c>
      <c r="C4" s="2" t="s">
        <v>105</v>
      </c>
      <c r="D4" s="2" t="s">
        <v>186</v>
      </c>
      <c r="E4" s="2" t="s">
        <v>81</v>
      </c>
      <c r="F4" s="2" t="s">
        <v>82</v>
      </c>
    </row>
    <row r="5" spans="1:6" x14ac:dyDescent="0.35">
      <c r="A5" s="2" t="s">
        <v>10</v>
      </c>
      <c r="B5" s="2" t="s">
        <v>107</v>
      </c>
      <c r="C5" s="2" t="s">
        <v>105</v>
      </c>
      <c r="D5" s="2" t="s">
        <v>187</v>
      </c>
      <c r="E5" s="2" t="s">
        <v>85</v>
      </c>
      <c r="F5" s="2" t="s">
        <v>86</v>
      </c>
    </row>
    <row r="6" spans="1:6" x14ac:dyDescent="0.35">
      <c r="A6" s="2" t="s">
        <v>10</v>
      </c>
      <c r="B6" s="2" t="s">
        <v>108</v>
      </c>
      <c r="C6" s="2" t="s">
        <v>105</v>
      </c>
      <c r="D6" s="2" t="s">
        <v>186</v>
      </c>
      <c r="E6" s="2" t="s">
        <v>87</v>
      </c>
      <c r="F6" s="2" t="s">
        <v>88</v>
      </c>
    </row>
    <row r="7" spans="1:6" x14ac:dyDescent="0.35">
      <c r="A7" s="2" t="s">
        <v>10</v>
      </c>
      <c r="B7" s="2" t="s">
        <v>108</v>
      </c>
      <c r="C7" s="2" t="s">
        <v>105</v>
      </c>
      <c r="D7" s="2" t="s">
        <v>187</v>
      </c>
      <c r="E7" s="2" t="s">
        <v>109</v>
      </c>
      <c r="F7" s="2" t="s">
        <v>88</v>
      </c>
    </row>
    <row r="8" spans="1:6" x14ac:dyDescent="0.35">
      <c r="A8" s="2" t="s">
        <v>10</v>
      </c>
      <c r="B8" s="2" t="s">
        <v>110</v>
      </c>
      <c r="C8" s="2" t="s">
        <v>115</v>
      </c>
      <c r="D8" s="2" t="s">
        <v>186</v>
      </c>
      <c r="E8" s="2" t="s">
        <v>23</v>
      </c>
      <c r="F8" s="2" t="s">
        <v>24</v>
      </c>
    </row>
    <row r="9" spans="1:6" x14ac:dyDescent="0.35">
      <c r="A9" s="2" t="s">
        <v>10</v>
      </c>
      <c r="B9" s="2" t="s">
        <v>110</v>
      </c>
      <c r="C9" s="2" t="s">
        <v>115</v>
      </c>
      <c r="D9" s="2" t="s">
        <v>186</v>
      </c>
      <c r="E9" s="2" t="s">
        <v>25</v>
      </c>
      <c r="F9" s="2" t="s">
        <v>26</v>
      </c>
    </row>
    <row r="10" spans="1:6" x14ac:dyDescent="0.35">
      <c r="A10" s="2" t="s">
        <v>10</v>
      </c>
      <c r="B10" s="2" t="s">
        <v>110</v>
      </c>
      <c r="C10" s="2" t="s">
        <v>115</v>
      </c>
      <c r="D10" s="2" t="s">
        <v>186</v>
      </c>
      <c r="E10" s="2" t="s">
        <v>27</v>
      </c>
      <c r="F10" s="2" t="s">
        <v>28</v>
      </c>
    </row>
    <row r="11" spans="1:6" x14ac:dyDescent="0.35">
      <c r="A11" s="2" t="s">
        <v>10</v>
      </c>
      <c r="B11" s="2" t="s">
        <v>110</v>
      </c>
      <c r="C11" s="2" t="s">
        <v>115</v>
      </c>
      <c r="D11" s="2" t="s">
        <v>186</v>
      </c>
      <c r="E11" s="2" t="s">
        <v>29</v>
      </c>
      <c r="F11" s="2" t="s">
        <v>30</v>
      </c>
    </row>
    <row r="12" spans="1:6" x14ac:dyDescent="0.35">
      <c r="A12" s="2" t="s">
        <v>10</v>
      </c>
      <c r="B12" s="2" t="s">
        <v>110</v>
      </c>
      <c r="C12" s="2" t="s">
        <v>115</v>
      </c>
      <c r="D12" s="2" t="s">
        <v>186</v>
      </c>
      <c r="E12" s="2" t="s">
        <v>15</v>
      </c>
      <c r="F12" s="2" t="s">
        <v>16</v>
      </c>
    </row>
    <row r="13" spans="1:6" x14ac:dyDescent="0.35">
      <c r="A13" s="2" t="s">
        <v>10</v>
      </c>
      <c r="B13" s="2" t="s">
        <v>110</v>
      </c>
      <c r="C13" s="2" t="s">
        <v>115</v>
      </c>
      <c r="D13" s="2" t="s">
        <v>186</v>
      </c>
      <c r="E13" s="2" t="s">
        <v>31</v>
      </c>
      <c r="F13" s="2" t="s">
        <v>32</v>
      </c>
    </row>
    <row r="14" spans="1:6" x14ac:dyDescent="0.35">
      <c r="A14" s="2" t="s">
        <v>10</v>
      </c>
      <c r="B14" s="2" t="s">
        <v>110</v>
      </c>
      <c r="C14" s="2" t="s">
        <v>115</v>
      </c>
      <c r="D14" s="2" t="s">
        <v>186</v>
      </c>
      <c r="E14" s="2" t="s">
        <v>33</v>
      </c>
      <c r="F14" s="2" t="s">
        <v>34</v>
      </c>
    </row>
    <row r="15" spans="1:6" x14ac:dyDescent="0.35">
      <c r="A15" s="2" t="s">
        <v>10</v>
      </c>
      <c r="B15" s="2" t="s">
        <v>110</v>
      </c>
      <c r="C15" s="2" t="s">
        <v>115</v>
      </c>
      <c r="D15" s="2" t="s">
        <v>186</v>
      </c>
      <c r="E15" s="2" t="s">
        <v>35</v>
      </c>
      <c r="F15" s="2" t="s">
        <v>36</v>
      </c>
    </row>
    <row r="16" spans="1:6" x14ac:dyDescent="0.35">
      <c r="A16" s="2" t="s">
        <v>10</v>
      </c>
      <c r="B16" s="2" t="s">
        <v>110</v>
      </c>
      <c r="C16" s="2" t="s">
        <v>115</v>
      </c>
      <c r="D16" s="2" t="s">
        <v>186</v>
      </c>
      <c r="E16" s="2" t="s">
        <v>37</v>
      </c>
      <c r="F16" s="2" t="s">
        <v>38</v>
      </c>
    </row>
    <row r="17" spans="1:6" x14ac:dyDescent="0.35">
      <c r="A17" s="2" t="s">
        <v>10</v>
      </c>
      <c r="B17" s="2" t="s">
        <v>110</v>
      </c>
      <c r="C17" s="2" t="s">
        <v>115</v>
      </c>
      <c r="D17" s="2" t="s">
        <v>186</v>
      </c>
      <c r="E17" s="2" t="s">
        <v>39</v>
      </c>
      <c r="F17" s="2" t="s">
        <v>40</v>
      </c>
    </row>
    <row r="18" spans="1:6" x14ac:dyDescent="0.35">
      <c r="A18" s="2" t="s">
        <v>10</v>
      </c>
      <c r="B18" s="2" t="s">
        <v>110</v>
      </c>
      <c r="C18" s="2" t="s">
        <v>115</v>
      </c>
      <c r="D18" s="2" t="s">
        <v>186</v>
      </c>
      <c r="E18" s="2" t="s">
        <v>41</v>
      </c>
      <c r="F18" s="2" t="s">
        <v>42</v>
      </c>
    </row>
    <row r="19" spans="1:6" x14ac:dyDescent="0.35">
      <c r="A19" s="2" t="s">
        <v>10</v>
      </c>
      <c r="B19" s="2" t="s">
        <v>110</v>
      </c>
      <c r="C19" s="2" t="s">
        <v>115</v>
      </c>
      <c r="D19" s="2" t="s">
        <v>186</v>
      </c>
      <c r="E19" s="2" t="s">
        <v>43</v>
      </c>
      <c r="F19" s="2" t="s">
        <v>44</v>
      </c>
    </row>
    <row r="20" spans="1:6" x14ac:dyDescent="0.35">
      <c r="A20" s="2" t="s">
        <v>10</v>
      </c>
      <c r="B20" s="2" t="s">
        <v>110</v>
      </c>
      <c r="C20" s="2" t="s">
        <v>115</v>
      </c>
      <c r="D20" s="2" t="s">
        <v>186</v>
      </c>
      <c r="E20" s="2" t="s">
        <v>45</v>
      </c>
      <c r="F20" s="2" t="s">
        <v>46</v>
      </c>
    </row>
    <row r="21" spans="1:6" x14ac:dyDescent="0.35">
      <c r="A21" s="2" t="s">
        <v>10</v>
      </c>
      <c r="B21" s="2" t="s">
        <v>110</v>
      </c>
      <c r="C21" s="2" t="s">
        <v>115</v>
      </c>
      <c r="D21" s="2" t="s">
        <v>186</v>
      </c>
      <c r="E21" s="2" t="s">
        <v>47</v>
      </c>
      <c r="F21" s="2" t="s">
        <v>48</v>
      </c>
    </row>
    <row r="22" spans="1:6" x14ac:dyDescent="0.35">
      <c r="A22" s="2" t="s">
        <v>10</v>
      </c>
      <c r="B22" s="2" t="s">
        <v>110</v>
      </c>
      <c r="C22" s="2" t="s">
        <v>115</v>
      </c>
      <c r="D22" s="2" t="s">
        <v>186</v>
      </c>
      <c r="E22" s="2" t="s">
        <v>49</v>
      </c>
      <c r="F22" s="2" t="s">
        <v>50</v>
      </c>
    </row>
    <row r="23" spans="1:6" x14ac:dyDescent="0.35">
      <c r="A23" s="2" t="s">
        <v>10</v>
      </c>
      <c r="B23" s="2" t="s">
        <v>110</v>
      </c>
      <c r="C23" s="2" t="s">
        <v>115</v>
      </c>
      <c r="D23" s="2" t="s">
        <v>186</v>
      </c>
      <c r="E23" s="2" t="s">
        <v>19</v>
      </c>
      <c r="F23" s="2" t="s">
        <v>20</v>
      </c>
    </row>
    <row r="24" spans="1:6" x14ac:dyDescent="0.35">
      <c r="A24" s="2" t="s">
        <v>10</v>
      </c>
      <c r="B24" s="2" t="s">
        <v>110</v>
      </c>
      <c r="C24" s="2" t="s">
        <v>115</v>
      </c>
      <c r="D24" s="2" t="s">
        <v>186</v>
      </c>
      <c r="E24" s="2" t="s">
        <v>21</v>
      </c>
      <c r="F24" s="2" t="s">
        <v>22</v>
      </c>
    </row>
    <row r="25" spans="1:6" x14ac:dyDescent="0.35">
      <c r="A25" s="2" t="s">
        <v>10</v>
      </c>
      <c r="B25" s="2" t="s">
        <v>110</v>
      </c>
      <c r="C25" s="2" t="s">
        <v>115</v>
      </c>
      <c r="D25" s="2" t="s">
        <v>186</v>
      </c>
      <c r="E25" s="2" t="s">
        <v>51</v>
      </c>
      <c r="F25" s="2" t="s">
        <v>52</v>
      </c>
    </row>
    <row r="26" spans="1:6" x14ac:dyDescent="0.35">
      <c r="A26" s="2" t="s">
        <v>10</v>
      </c>
      <c r="B26" s="2" t="s">
        <v>110</v>
      </c>
      <c r="C26" s="2" t="s">
        <v>115</v>
      </c>
      <c r="D26" s="2" t="s">
        <v>186</v>
      </c>
      <c r="E26" s="2" t="s">
        <v>53</v>
      </c>
      <c r="F26" s="2" t="s">
        <v>54</v>
      </c>
    </row>
    <row r="27" spans="1:6" x14ac:dyDescent="0.35">
      <c r="A27" s="2" t="s">
        <v>10</v>
      </c>
      <c r="B27" s="2" t="s">
        <v>110</v>
      </c>
      <c r="C27" s="2" t="s">
        <v>115</v>
      </c>
      <c r="D27" s="2" t="s">
        <v>186</v>
      </c>
      <c r="E27" s="2" t="s">
        <v>55</v>
      </c>
      <c r="F27" s="2" t="s">
        <v>56</v>
      </c>
    </row>
    <row r="28" spans="1:6" x14ac:dyDescent="0.35">
      <c r="A28" s="2" t="s">
        <v>10</v>
      </c>
      <c r="B28" s="2" t="s">
        <v>110</v>
      </c>
      <c r="C28" s="2" t="s">
        <v>115</v>
      </c>
      <c r="D28" s="2" t="s">
        <v>186</v>
      </c>
      <c r="E28" s="2" t="s">
        <v>57</v>
      </c>
      <c r="F28" s="2" t="s">
        <v>58</v>
      </c>
    </row>
    <row r="29" spans="1:6" x14ac:dyDescent="0.35">
      <c r="A29" s="2" t="s">
        <v>10</v>
      </c>
      <c r="B29" s="2" t="s">
        <v>110</v>
      </c>
      <c r="C29" s="2" t="s">
        <v>115</v>
      </c>
      <c r="D29" s="2" t="s">
        <v>186</v>
      </c>
      <c r="E29" s="2" t="s">
        <v>59</v>
      </c>
      <c r="F29" s="2" t="s">
        <v>60</v>
      </c>
    </row>
    <row r="30" spans="1:6" x14ac:dyDescent="0.35">
      <c r="A30" s="2" t="s">
        <v>10</v>
      </c>
      <c r="B30" s="2" t="s">
        <v>110</v>
      </c>
      <c r="C30" s="2" t="s">
        <v>115</v>
      </c>
      <c r="D30" s="2" t="s">
        <v>186</v>
      </c>
      <c r="E30" s="2" t="s">
        <v>61</v>
      </c>
      <c r="F30" s="2" t="s">
        <v>62</v>
      </c>
    </row>
    <row r="31" spans="1:6" x14ac:dyDescent="0.35">
      <c r="A31" s="2" t="s">
        <v>10</v>
      </c>
      <c r="B31" s="2" t="s">
        <v>110</v>
      </c>
      <c r="C31" s="2" t="s">
        <v>115</v>
      </c>
      <c r="D31" s="2" t="s">
        <v>186</v>
      </c>
      <c r="E31" s="2" t="s">
        <v>63</v>
      </c>
      <c r="F31" s="2" t="s">
        <v>64</v>
      </c>
    </row>
    <row r="32" spans="1:6" x14ac:dyDescent="0.35">
      <c r="A32" s="2" t="s">
        <v>10</v>
      </c>
      <c r="B32" s="2" t="s">
        <v>110</v>
      </c>
      <c r="C32" s="2" t="s">
        <v>115</v>
      </c>
      <c r="D32" s="2" t="s">
        <v>186</v>
      </c>
      <c r="E32" s="2" t="s">
        <v>65</v>
      </c>
      <c r="F32" s="2" t="s">
        <v>66</v>
      </c>
    </row>
    <row r="33" spans="1:6" x14ac:dyDescent="0.35">
      <c r="A33" s="2" t="s">
        <v>10</v>
      </c>
      <c r="B33" s="2" t="s">
        <v>110</v>
      </c>
      <c r="C33" s="2" t="s">
        <v>115</v>
      </c>
      <c r="D33" s="2" t="s">
        <v>186</v>
      </c>
      <c r="E33" s="2" t="s">
        <v>67</v>
      </c>
      <c r="F33" s="2" t="s">
        <v>68</v>
      </c>
    </row>
    <row r="34" spans="1:6" x14ac:dyDescent="0.35">
      <c r="A34" s="2" t="s">
        <v>10</v>
      </c>
      <c r="B34" s="2" t="s">
        <v>104</v>
      </c>
      <c r="C34" s="2" t="s">
        <v>12</v>
      </c>
      <c r="D34" s="2" t="s">
        <v>187</v>
      </c>
      <c r="E34" s="2" t="s">
        <v>73</v>
      </c>
      <c r="F34" s="2" t="s">
        <v>74</v>
      </c>
    </row>
    <row r="35" spans="1:6" x14ac:dyDescent="0.35">
      <c r="A35" s="2" t="s">
        <v>10</v>
      </c>
      <c r="B35" s="2" t="s">
        <v>111</v>
      </c>
      <c r="C35" s="2" t="s">
        <v>115</v>
      </c>
      <c r="D35" s="2" t="s">
        <v>188</v>
      </c>
      <c r="E35" s="2" t="s">
        <v>27</v>
      </c>
      <c r="F35" s="2" t="s">
        <v>28</v>
      </c>
    </row>
    <row r="36" spans="1:6" x14ac:dyDescent="0.35">
      <c r="A36" s="2" t="s">
        <v>10</v>
      </c>
      <c r="B36" s="2" t="s">
        <v>111</v>
      </c>
      <c r="C36" s="2" t="s">
        <v>115</v>
      </c>
      <c r="D36" s="2" t="s">
        <v>188</v>
      </c>
      <c r="E36" s="2" t="s">
        <v>93</v>
      </c>
      <c r="F36" s="2" t="s">
        <v>94</v>
      </c>
    </row>
    <row r="37" spans="1:6" x14ac:dyDescent="0.35">
      <c r="A37" s="2" t="s">
        <v>10</v>
      </c>
      <c r="B37" s="2" t="s">
        <v>111</v>
      </c>
      <c r="C37" s="2" t="s">
        <v>115</v>
      </c>
      <c r="D37" s="2" t="s">
        <v>188</v>
      </c>
      <c r="E37" s="2" t="s">
        <v>95</v>
      </c>
      <c r="F37" s="2" t="s">
        <v>96</v>
      </c>
    </row>
    <row r="38" spans="1:6" x14ac:dyDescent="0.35">
      <c r="A38" s="2" t="s">
        <v>10</v>
      </c>
      <c r="B38" s="2" t="s">
        <v>111</v>
      </c>
      <c r="C38" s="2" t="s">
        <v>115</v>
      </c>
      <c r="D38" s="2" t="s">
        <v>188</v>
      </c>
      <c r="E38" s="2" t="s">
        <v>17</v>
      </c>
      <c r="F38" s="2" t="s">
        <v>18</v>
      </c>
    </row>
    <row r="39" spans="1:6" x14ac:dyDescent="0.35">
      <c r="A39" s="2" t="s">
        <v>10</v>
      </c>
      <c r="B39" s="2" t="s">
        <v>111</v>
      </c>
      <c r="C39" s="2" t="s">
        <v>115</v>
      </c>
      <c r="D39" s="2" t="s">
        <v>188</v>
      </c>
      <c r="E39" s="2" t="s">
        <v>97</v>
      </c>
      <c r="F39" s="2" t="s">
        <v>98</v>
      </c>
    </row>
    <row r="40" spans="1:6" x14ac:dyDescent="0.35">
      <c r="A40" s="2" t="s">
        <v>10</v>
      </c>
      <c r="B40" s="2" t="s">
        <v>111</v>
      </c>
      <c r="C40" s="2" t="s">
        <v>115</v>
      </c>
      <c r="D40" s="2" t="s">
        <v>188</v>
      </c>
      <c r="E40" s="2" t="s">
        <v>99</v>
      </c>
      <c r="F40" s="2" t="s">
        <v>100</v>
      </c>
    </row>
    <row r="41" spans="1:6" x14ac:dyDescent="0.35">
      <c r="A41" s="2" t="s">
        <v>10</v>
      </c>
      <c r="B41" s="2" t="s">
        <v>111</v>
      </c>
      <c r="C41" s="2" t="s">
        <v>115</v>
      </c>
      <c r="D41" s="2" t="s">
        <v>188</v>
      </c>
      <c r="E41" s="2" t="s">
        <v>71</v>
      </c>
      <c r="F41" s="2" t="s">
        <v>72</v>
      </c>
    </row>
    <row r="42" spans="1:6" x14ac:dyDescent="0.35">
      <c r="A42" s="2" t="s">
        <v>10</v>
      </c>
      <c r="B42" s="2" t="s">
        <v>111</v>
      </c>
      <c r="C42" s="2" t="s">
        <v>115</v>
      </c>
      <c r="D42" s="2" t="s">
        <v>188</v>
      </c>
      <c r="E42" s="2" t="s">
        <v>79</v>
      </c>
      <c r="F42" s="2" t="s">
        <v>80</v>
      </c>
    </row>
    <row r="43" spans="1:6" x14ac:dyDescent="0.35">
      <c r="A43" s="2" t="s">
        <v>10</v>
      </c>
      <c r="B43" s="2" t="s">
        <v>112</v>
      </c>
      <c r="C43" s="2" t="s">
        <v>114</v>
      </c>
      <c r="D43" s="2" t="s">
        <v>185</v>
      </c>
      <c r="E43" s="2" t="s">
        <v>91</v>
      </c>
      <c r="F43" s="2" t="s">
        <v>92</v>
      </c>
    </row>
    <row r="44" spans="1:6" x14ac:dyDescent="0.35">
      <c r="A44" s="2" t="s">
        <v>10</v>
      </c>
      <c r="B44" s="2" t="s">
        <v>113</v>
      </c>
      <c r="C44" s="2" t="s">
        <v>114</v>
      </c>
      <c r="D44" s="2" t="s">
        <v>187</v>
      </c>
      <c r="E44" s="2" t="s">
        <v>89</v>
      </c>
      <c r="F44" s="2" t="s">
        <v>90</v>
      </c>
    </row>
    <row r="45" spans="1:6" x14ac:dyDescent="0.35">
      <c r="A45" s="2" t="s">
        <v>10</v>
      </c>
      <c r="B45" s="2" t="s">
        <v>173</v>
      </c>
      <c r="C45" s="2" t="s">
        <v>172</v>
      </c>
      <c r="D45" s="2" t="s">
        <v>186</v>
      </c>
      <c r="E45" s="2" t="s">
        <v>174</v>
      </c>
      <c r="F45" s="2"/>
    </row>
    <row r="46" spans="1:6" x14ac:dyDescent="0.35">
      <c r="A46" s="2" t="s">
        <v>10</v>
      </c>
      <c r="B46" s="2" t="s">
        <v>175</v>
      </c>
      <c r="C46" s="2" t="s">
        <v>175</v>
      </c>
      <c r="D46" s="2" t="s">
        <v>188</v>
      </c>
      <c r="E46" s="2" t="s">
        <v>176</v>
      </c>
      <c r="F46" s="2"/>
    </row>
    <row r="47" spans="1:6" x14ac:dyDescent="0.35">
      <c r="A47" s="2" t="s">
        <v>10</v>
      </c>
      <c r="B47" s="2" t="s">
        <v>177</v>
      </c>
      <c r="C47" s="2" t="s">
        <v>177</v>
      </c>
      <c r="D47" s="2" t="s">
        <v>185</v>
      </c>
      <c r="E47" s="2" t="s">
        <v>178</v>
      </c>
      <c r="F47" s="2"/>
    </row>
    <row r="48" spans="1:6" x14ac:dyDescent="0.35">
      <c r="A48" s="2"/>
      <c r="B48" s="2"/>
      <c r="C48" s="2"/>
      <c r="D48" s="2"/>
      <c r="E48" s="2"/>
      <c r="F48" s="2"/>
    </row>
    <row r="49" spans="1:6" x14ac:dyDescent="0.35">
      <c r="A49" s="2"/>
      <c r="B49" s="2"/>
      <c r="C49" s="2"/>
      <c r="D49" s="2"/>
      <c r="E49" s="2"/>
      <c r="F49" s="2"/>
    </row>
    <row r="50" spans="1:6" x14ac:dyDescent="0.35">
      <c r="A50" s="2"/>
      <c r="B50" s="2"/>
      <c r="C50" s="2"/>
      <c r="D50" s="2"/>
      <c r="E50" s="2"/>
      <c r="F50" s="2"/>
    </row>
    <row r="51" spans="1:6" x14ac:dyDescent="0.35">
      <c r="A51" s="2" t="s">
        <v>116</v>
      </c>
      <c r="B51" s="2" t="s">
        <v>180</v>
      </c>
      <c r="C51" s="2" t="s">
        <v>115</v>
      </c>
      <c r="D51" s="2" t="s">
        <v>185</v>
      </c>
      <c r="E51" s="2" t="s">
        <v>117</v>
      </c>
      <c r="F51" s="2" t="s">
        <v>118</v>
      </c>
    </row>
    <row r="52" spans="1:6" x14ac:dyDescent="0.35">
      <c r="A52" s="2" t="s">
        <v>116</v>
      </c>
      <c r="B52" s="2" t="s">
        <v>180</v>
      </c>
      <c r="C52" s="2" t="s">
        <v>115</v>
      </c>
      <c r="D52" s="2" t="s">
        <v>185</v>
      </c>
      <c r="E52" s="2" t="s">
        <v>13</v>
      </c>
      <c r="F52" s="2" t="s">
        <v>14</v>
      </c>
    </row>
    <row r="53" spans="1:6" x14ac:dyDescent="0.35">
      <c r="A53" s="2" t="s">
        <v>116</v>
      </c>
      <c r="B53" s="2" t="s">
        <v>180</v>
      </c>
      <c r="C53" s="2" t="s">
        <v>115</v>
      </c>
      <c r="D53" s="2" t="s">
        <v>185</v>
      </c>
      <c r="E53" s="2" t="s">
        <v>119</v>
      </c>
      <c r="F53" s="2" t="s">
        <v>120</v>
      </c>
    </row>
    <row r="54" spans="1:6" x14ac:dyDescent="0.35">
      <c r="A54" s="2" t="s">
        <v>116</v>
      </c>
      <c r="B54" s="2" t="s">
        <v>180</v>
      </c>
      <c r="C54" s="2" t="s">
        <v>115</v>
      </c>
      <c r="D54" s="2" t="s">
        <v>185</v>
      </c>
      <c r="E54" s="2" t="s">
        <v>69</v>
      </c>
      <c r="F54" s="2" t="s">
        <v>70</v>
      </c>
    </row>
    <row r="55" spans="1:6" x14ac:dyDescent="0.35">
      <c r="A55" s="2" t="s">
        <v>116</v>
      </c>
      <c r="B55" s="2" t="s">
        <v>180</v>
      </c>
      <c r="C55" s="2" t="s">
        <v>115</v>
      </c>
      <c r="D55" s="2" t="s">
        <v>185</v>
      </c>
      <c r="E55" s="2" t="s">
        <v>27</v>
      </c>
      <c r="F55" s="2" t="s">
        <v>28</v>
      </c>
    </row>
    <row r="56" spans="1:6" x14ac:dyDescent="0.35">
      <c r="A56" s="2" t="s">
        <v>116</v>
      </c>
      <c r="B56" s="2" t="s">
        <v>180</v>
      </c>
      <c r="C56" s="2" t="s">
        <v>115</v>
      </c>
      <c r="D56" s="2" t="s">
        <v>185</v>
      </c>
      <c r="E56" s="2" t="s">
        <v>121</v>
      </c>
      <c r="F56" s="2" t="s">
        <v>122</v>
      </c>
    </row>
    <row r="57" spans="1:6" x14ac:dyDescent="0.35">
      <c r="A57" s="2" t="s">
        <v>116</v>
      </c>
      <c r="B57" s="2" t="s">
        <v>180</v>
      </c>
      <c r="C57" s="2" t="s">
        <v>115</v>
      </c>
      <c r="D57" s="2" t="s">
        <v>185</v>
      </c>
      <c r="E57" s="2" t="s">
        <v>123</v>
      </c>
      <c r="F57" s="2" t="s">
        <v>124</v>
      </c>
    </row>
    <row r="58" spans="1:6" x14ac:dyDescent="0.35">
      <c r="A58" s="2" t="s">
        <v>116</v>
      </c>
      <c r="B58" s="2" t="s">
        <v>180</v>
      </c>
      <c r="C58" s="2" t="s">
        <v>115</v>
      </c>
      <c r="D58" s="2" t="s">
        <v>185</v>
      </c>
      <c r="E58" s="2" t="s">
        <v>125</v>
      </c>
      <c r="F58" s="2" t="s">
        <v>126</v>
      </c>
    </row>
    <row r="59" spans="1:6" x14ac:dyDescent="0.35">
      <c r="A59" s="2" t="s">
        <v>116</v>
      </c>
      <c r="B59" s="2" t="s">
        <v>180</v>
      </c>
      <c r="C59" s="2" t="s">
        <v>115</v>
      </c>
      <c r="D59" s="2" t="s">
        <v>185</v>
      </c>
      <c r="E59" s="2" t="s">
        <v>127</v>
      </c>
      <c r="F59" s="2" t="s">
        <v>128</v>
      </c>
    </row>
    <row r="60" spans="1:6" x14ac:dyDescent="0.35">
      <c r="A60" s="2" t="s">
        <v>116</v>
      </c>
      <c r="B60" s="2" t="s">
        <v>180</v>
      </c>
      <c r="C60" s="2" t="s">
        <v>115</v>
      </c>
      <c r="D60" s="2" t="s">
        <v>185</v>
      </c>
      <c r="E60" s="2" t="s">
        <v>129</v>
      </c>
      <c r="F60" s="2" t="s">
        <v>130</v>
      </c>
    </row>
    <row r="61" spans="1:6" x14ac:dyDescent="0.35">
      <c r="A61" s="2" t="s">
        <v>116</v>
      </c>
      <c r="B61" s="2" t="s">
        <v>180</v>
      </c>
      <c r="C61" s="2" t="s">
        <v>115</v>
      </c>
      <c r="D61" s="2" t="s">
        <v>185</v>
      </c>
      <c r="E61" s="2" t="s">
        <v>131</v>
      </c>
      <c r="F61" s="2" t="s">
        <v>132</v>
      </c>
    </row>
    <row r="62" spans="1:6" x14ac:dyDescent="0.35">
      <c r="A62" s="2" t="s">
        <v>116</v>
      </c>
      <c r="B62" s="2" t="s">
        <v>180</v>
      </c>
      <c r="C62" s="2" t="s">
        <v>115</v>
      </c>
      <c r="D62" s="2" t="s">
        <v>185</v>
      </c>
      <c r="E62" s="2" t="s">
        <v>133</v>
      </c>
      <c r="F62" s="2" t="s">
        <v>134</v>
      </c>
    </row>
    <row r="63" spans="1:6" x14ac:dyDescent="0.35">
      <c r="A63" s="2" t="s">
        <v>116</v>
      </c>
      <c r="B63" s="2" t="s">
        <v>180</v>
      </c>
      <c r="C63" s="2" t="s">
        <v>115</v>
      </c>
      <c r="D63" s="2" t="s">
        <v>185</v>
      </c>
      <c r="E63" s="2" t="s">
        <v>135</v>
      </c>
      <c r="F63" s="2" t="s">
        <v>136</v>
      </c>
    </row>
    <row r="64" spans="1:6" x14ac:dyDescent="0.35">
      <c r="A64" s="2" t="s">
        <v>116</v>
      </c>
      <c r="B64" s="2" t="s">
        <v>180</v>
      </c>
      <c r="C64" s="2" t="s">
        <v>115</v>
      </c>
      <c r="D64" s="2" t="s">
        <v>185</v>
      </c>
      <c r="E64" s="2" t="s">
        <v>39</v>
      </c>
      <c r="F64" s="2" t="s">
        <v>40</v>
      </c>
    </row>
    <row r="65" spans="1:6" x14ac:dyDescent="0.35">
      <c r="A65" s="2" t="s">
        <v>116</v>
      </c>
      <c r="B65" s="2" t="s">
        <v>180</v>
      </c>
      <c r="C65" s="2" t="s">
        <v>115</v>
      </c>
      <c r="D65" s="2" t="s">
        <v>185</v>
      </c>
      <c r="E65" s="2" t="s">
        <v>137</v>
      </c>
      <c r="F65" s="2" t="s">
        <v>138</v>
      </c>
    </row>
    <row r="66" spans="1:6" x14ac:dyDescent="0.35">
      <c r="A66" s="2" t="s">
        <v>116</v>
      </c>
      <c r="B66" s="2" t="s">
        <v>180</v>
      </c>
      <c r="C66" s="2" t="s">
        <v>115</v>
      </c>
      <c r="D66" s="2" t="s">
        <v>185</v>
      </c>
      <c r="E66" s="2" t="s">
        <v>139</v>
      </c>
      <c r="F66" s="2" t="s">
        <v>140</v>
      </c>
    </row>
    <row r="67" spans="1:6" x14ac:dyDescent="0.35">
      <c r="A67" s="2" t="s">
        <v>116</v>
      </c>
      <c r="B67" s="2" t="s">
        <v>180</v>
      </c>
      <c r="C67" s="2" t="s">
        <v>115</v>
      </c>
      <c r="D67" s="2" t="s">
        <v>185</v>
      </c>
      <c r="E67" s="2" t="s">
        <v>41</v>
      </c>
      <c r="F67" s="2" t="s">
        <v>42</v>
      </c>
    </row>
    <row r="68" spans="1:6" x14ac:dyDescent="0.35">
      <c r="A68" s="2" t="s">
        <v>116</v>
      </c>
      <c r="B68" s="2" t="s">
        <v>180</v>
      </c>
      <c r="C68" s="2" t="s">
        <v>115</v>
      </c>
      <c r="D68" s="2" t="s">
        <v>185</v>
      </c>
      <c r="E68" s="2" t="s">
        <v>141</v>
      </c>
      <c r="F68" s="2" t="s">
        <v>142</v>
      </c>
    </row>
    <row r="69" spans="1:6" x14ac:dyDescent="0.35">
      <c r="A69" s="2" t="s">
        <v>116</v>
      </c>
      <c r="B69" s="2" t="s">
        <v>180</v>
      </c>
      <c r="C69" s="2" t="s">
        <v>115</v>
      </c>
      <c r="D69" s="2" t="s">
        <v>185</v>
      </c>
      <c r="E69" s="2" t="s">
        <v>143</v>
      </c>
      <c r="F69" s="2" t="s">
        <v>144</v>
      </c>
    </row>
    <row r="70" spans="1:6" x14ac:dyDescent="0.35">
      <c r="A70" s="2" t="s">
        <v>116</v>
      </c>
      <c r="B70" s="2" t="s">
        <v>180</v>
      </c>
      <c r="C70" s="2" t="s">
        <v>115</v>
      </c>
      <c r="D70" s="2" t="s">
        <v>185</v>
      </c>
      <c r="E70" s="2" t="s">
        <v>45</v>
      </c>
      <c r="F70" s="2" t="s">
        <v>46</v>
      </c>
    </row>
    <row r="71" spans="1:6" x14ac:dyDescent="0.35">
      <c r="A71" s="2" t="s">
        <v>116</v>
      </c>
      <c r="B71" s="2" t="s">
        <v>180</v>
      </c>
      <c r="C71" s="2" t="s">
        <v>115</v>
      </c>
      <c r="D71" s="2" t="s">
        <v>185</v>
      </c>
      <c r="E71" s="2" t="s">
        <v>19</v>
      </c>
      <c r="F71" s="2" t="s">
        <v>20</v>
      </c>
    </row>
    <row r="72" spans="1:6" x14ac:dyDescent="0.35">
      <c r="A72" s="2" t="s">
        <v>116</v>
      </c>
      <c r="B72" s="2" t="s">
        <v>180</v>
      </c>
      <c r="C72" s="2" t="s">
        <v>115</v>
      </c>
      <c r="D72" s="2" t="s">
        <v>185</v>
      </c>
      <c r="E72" s="2" t="s">
        <v>21</v>
      </c>
      <c r="F72" s="2" t="s">
        <v>22</v>
      </c>
    </row>
    <row r="73" spans="1:6" x14ac:dyDescent="0.35">
      <c r="A73" s="2" t="s">
        <v>116</v>
      </c>
      <c r="B73" s="2" t="s">
        <v>180</v>
      </c>
      <c r="C73" s="2" t="s">
        <v>115</v>
      </c>
      <c r="D73" s="2" t="s">
        <v>185</v>
      </c>
      <c r="E73" s="2" t="s">
        <v>145</v>
      </c>
      <c r="F73" s="2" t="s">
        <v>146</v>
      </c>
    </row>
    <row r="74" spans="1:6" x14ac:dyDescent="0.35">
      <c r="A74" s="2" t="s">
        <v>116</v>
      </c>
      <c r="B74" s="2" t="s">
        <v>180</v>
      </c>
      <c r="C74" s="2" t="s">
        <v>115</v>
      </c>
      <c r="D74" s="2" t="s">
        <v>185</v>
      </c>
      <c r="E74" s="2" t="s">
        <v>75</v>
      </c>
      <c r="F74" s="2" t="s">
        <v>76</v>
      </c>
    </row>
    <row r="75" spans="1:6" x14ac:dyDescent="0.35">
      <c r="A75" s="2" t="s">
        <v>116</v>
      </c>
      <c r="B75" s="2" t="s">
        <v>180</v>
      </c>
      <c r="C75" s="2" t="s">
        <v>115</v>
      </c>
      <c r="D75" s="2" t="s">
        <v>185</v>
      </c>
      <c r="E75" s="2" t="s">
        <v>77</v>
      </c>
      <c r="F75" s="2" t="s">
        <v>78</v>
      </c>
    </row>
    <row r="76" spans="1:6" x14ac:dyDescent="0.35">
      <c r="A76" s="2" t="s">
        <v>116</v>
      </c>
      <c r="B76" s="2" t="s">
        <v>180</v>
      </c>
      <c r="C76" s="2" t="s">
        <v>115</v>
      </c>
      <c r="D76" s="2" t="s">
        <v>185</v>
      </c>
      <c r="E76" s="2" t="s">
        <v>147</v>
      </c>
      <c r="F76" s="2" t="s">
        <v>148</v>
      </c>
    </row>
    <row r="77" spans="1:6" x14ac:dyDescent="0.35">
      <c r="A77" s="2" t="s">
        <v>116</v>
      </c>
      <c r="B77" s="2" t="s">
        <v>180</v>
      </c>
      <c r="C77" s="2" t="s">
        <v>115</v>
      </c>
      <c r="D77" s="2" t="s">
        <v>185</v>
      </c>
      <c r="E77" s="2" t="s">
        <v>101</v>
      </c>
      <c r="F77" s="2" t="s">
        <v>102</v>
      </c>
    </row>
    <row r="78" spans="1:6" x14ac:dyDescent="0.35">
      <c r="A78" s="2" t="s">
        <v>116</v>
      </c>
      <c r="B78" s="2" t="s">
        <v>180</v>
      </c>
      <c r="C78" s="2" t="s">
        <v>115</v>
      </c>
      <c r="D78" s="2" t="s">
        <v>185</v>
      </c>
      <c r="E78" s="2" t="s">
        <v>149</v>
      </c>
      <c r="F78" s="2" t="s">
        <v>150</v>
      </c>
    </row>
    <row r="79" spans="1:6" x14ac:dyDescent="0.35">
      <c r="A79" s="2" t="s">
        <v>116</v>
      </c>
      <c r="B79" s="2" t="s">
        <v>180</v>
      </c>
      <c r="C79" s="2" t="s">
        <v>115</v>
      </c>
      <c r="D79" s="2" t="s">
        <v>185</v>
      </c>
      <c r="E79" s="2" t="s">
        <v>151</v>
      </c>
      <c r="F79" s="2" t="s">
        <v>152</v>
      </c>
    </row>
    <row r="80" spans="1:6" x14ac:dyDescent="0.35">
      <c r="A80" s="2" t="s">
        <v>116</v>
      </c>
      <c r="B80" s="2" t="s">
        <v>180</v>
      </c>
      <c r="C80" s="2" t="s">
        <v>115</v>
      </c>
      <c r="D80" s="2" t="s">
        <v>185</v>
      </c>
      <c r="E80" s="2" t="s">
        <v>153</v>
      </c>
      <c r="F80" s="2" t="s">
        <v>154</v>
      </c>
    </row>
    <row r="81" spans="1:6" x14ac:dyDescent="0.35">
      <c r="A81" s="2" t="s">
        <v>116</v>
      </c>
      <c r="B81" s="2" t="s">
        <v>180</v>
      </c>
      <c r="C81" s="2" t="s">
        <v>115</v>
      </c>
      <c r="D81" s="2" t="s">
        <v>185</v>
      </c>
      <c r="E81" s="2" t="s">
        <v>155</v>
      </c>
      <c r="F81" s="2" t="s">
        <v>156</v>
      </c>
    </row>
    <row r="82" spans="1:6" x14ac:dyDescent="0.35">
      <c r="A82" s="2" t="s">
        <v>116</v>
      </c>
      <c r="B82" s="2" t="s">
        <v>11</v>
      </c>
      <c r="C82" s="2" t="s">
        <v>11</v>
      </c>
      <c r="D82" s="2" t="s">
        <v>188</v>
      </c>
      <c r="E82" s="2" t="s">
        <v>159</v>
      </c>
      <c r="F82" s="2"/>
    </row>
    <row r="83" spans="1:6" x14ac:dyDescent="0.35">
      <c r="A83" s="2" t="s">
        <v>116</v>
      </c>
      <c r="B83" s="2" t="s">
        <v>106</v>
      </c>
      <c r="C83" s="2" t="s">
        <v>105</v>
      </c>
      <c r="D83" s="2" t="s">
        <v>186</v>
      </c>
      <c r="E83" s="2" t="s">
        <v>81</v>
      </c>
      <c r="F83" s="2" t="s">
        <v>82</v>
      </c>
    </row>
    <row r="84" spans="1:6" x14ac:dyDescent="0.35">
      <c r="A84" s="2" t="s">
        <v>116</v>
      </c>
      <c r="B84" s="2" t="s">
        <v>107</v>
      </c>
      <c r="C84" s="2" t="s">
        <v>105</v>
      </c>
      <c r="D84" s="2" t="s">
        <v>187</v>
      </c>
      <c r="E84" s="2" t="s">
        <v>83</v>
      </c>
      <c r="F84" s="2" t="s">
        <v>84</v>
      </c>
    </row>
    <row r="85" spans="1:6" x14ac:dyDescent="0.35">
      <c r="A85" s="2" t="s">
        <v>116</v>
      </c>
      <c r="B85" s="2" t="s">
        <v>108</v>
      </c>
      <c r="C85" s="2" t="s">
        <v>105</v>
      </c>
      <c r="D85" s="2" t="s">
        <v>186</v>
      </c>
      <c r="E85" s="2" t="s">
        <v>87</v>
      </c>
      <c r="F85" s="2" t="s">
        <v>88</v>
      </c>
    </row>
    <row r="86" spans="1:6" x14ac:dyDescent="0.35">
      <c r="A86" s="2" t="s">
        <v>116</v>
      </c>
      <c r="B86" s="2" t="s">
        <v>179</v>
      </c>
      <c r="C86" s="2" t="s">
        <v>105</v>
      </c>
      <c r="D86" s="2" t="s">
        <v>187</v>
      </c>
      <c r="E86" s="2" t="s">
        <v>160</v>
      </c>
      <c r="F86" s="2" t="s">
        <v>161</v>
      </c>
    </row>
    <row r="87" spans="1:6" x14ac:dyDescent="0.35">
      <c r="A87" s="2" t="s">
        <v>116</v>
      </c>
      <c r="B87" s="2" t="s">
        <v>112</v>
      </c>
      <c r="C87" s="2" t="s">
        <v>114</v>
      </c>
      <c r="D87" s="2" t="s">
        <v>186</v>
      </c>
      <c r="E87" s="2" t="s">
        <v>91</v>
      </c>
      <c r="F87" s="2" t="s">
        <v>92</v>
      </c>
    </row>
    <row r="88" spans="1:6" x14ac:dyDescent="0.35">
      <c r="A88" s="2" t="s">
        <v>116</v>
      </c>
      <c r="B88" s="2" t="s">
        <v>111</v>
      </c>
      <c r="C88" s="2" t="s">
        <v>115</v>
      </c>
      <c r="D88" s="2" t="s">
        <v>188</v>
      </c>
      <c r="E88" s="2" t="s">
        <v>69</v>
      </c>
      <c r="F88" s="2" t="s">
        <v>70</v>
      </c>
    </row>
    <row r="89" spans="1:6" x14ac:dyDescent="0.35">
      <c r="A89" s="2" t="s">
        <v>116</v>
      </c>
      <c r="B89" s="2" t="s">
        <v>111</v>
      </c>
      <c r="C89" s="2" t="s">
        <v>115</v>
      </c>
      <c r="D89" s="2" t="s">
        <v>188</v>
      </c>
      <c r="E89" s="2" t="s">
        <v>162</v>
      </c>
      <c r="F89" s="2" t="s">
        <v>163</v>
      </c>
    </row>
    <row r="90" spans="1:6" x14ac:dyDescent="0.35">
      <c r="A90" s="2" t="s">
        <v>116</v>
      </c>
      <c r="B90" s="2" t="s">
        <v>111</v>
      </c>
      <c r="C90" s="2" t="s">
        <v>115</v>
      </c>
      <c r="D90" s="2" t="s">
        <v>188</v>
      </c>
      <c r="E90" s="2" t="s">
        <v>164</v>
      </c>
      <c r="F90" s="2" t="s">
        <v>165</v>
      </c>
    </row>
    <row r="91" spans="1:6" x14ac:dyDescent="0.35">
      <c r="A91" s="2" t="s">
        <v>116</v>
      </c>
      <c r="B91" s="2" t="s">
        <v>111</v>
      </c>
      <c r="C91" s="2" t="s">
        <v>115</v>
      </c>
      <c r="D91" s="2" t="s">
        <v>188</v>
      </c>
      <c r="E91" s="2" t="s">
        <v>166</v>
      </c>
      <c r="F91" s="2" t="s">
        <v>167</v>
      </c>
    </row>
    <row r="92" spans="1:6" x14ac:dyDescent="0.35">
      <c r="A92" s="2" t="s">
        <v>116</v>
      </c>
      <c r="B92" s="2" t="s">
        <v>111</v>
      </c>
      <c r="C92" s="2" t="s">
        <v>115</v>
      </c>
      <c r="D92" s="2" t="s">
        <v>188</v>
      </c>
      <c r="E92" s="2" t="s">
        <v>168</v>
      </c>
      <c r="F92" s="2" t="s">
        <v>169</v>
      </c>
    </row>
    <row r="93" spans="1:6" x14ac:dyDescent="0.35">
      <c r="A93" s="2" t="s">
        <v>116</v>
      </c>
      <c r="B93" s="2" t="s">
        <v>111</v>
      </c>
      <c r="C93" s="2" t="s">
        <v>115</v>
      </c>
      <c r="D93" s="2" t="s">
        <v>188</v>
      </c>
      <c r="E93" s="2" t="s">
        <v>170</v>
      </c>
      <c r="F93" s="2" t="s">
        <v>171</v>
      </c>
    </row>
    <row r="94" spans="1:6" x14ac:dyDescent="0.35">
      <c r="A94" s="2" t="s">
        <v>116</v>
      </c>
      <c r="B94" s="2" t="s">
        <v>182</v>
      </c>
      <c r="C94" s="2" t="s">
        <v>181</v>
      </c>
      <c r="D94" s="2" t="s">
        <v>187</v>
      </c>
      <c r="E94" s="2" t="s">
        <v>157</v>
      </c>
      <c r="F94" s="2" t="s">
        <v>158</v>
      </c>
    </row>
    <row r="95" spans="1:6" x14ac:dyDescent="0.35">
      <c r="A95" s="2" t="s">
        <v>10</v>
      </c>
      <c r="B95" s="2" t="s">
        <v>175</v>
      </c>
      <c r="C95" s="2" t="s">
        <v>175</v>
      </c>
      <c r="D95" s="2" t="s">
        <v>188</v>
      </c>
      <c r="E95" s="2" t="s">
        <v>183</v>
      </c>
      <c r="F95" s="2"/>
    </row>
  </sheetData>
  <autoFilter ref="A2:F95" xr:uid="{89EC1EF8-4E33-49DE-9D85-7282C778499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1C09-E7F7-4363-A333-7829F7EB7A00}">
  <dimension ref="A2:K95"/>
  <sheetViews>
    <sheetView topLeftCell="A2" workbookViewId="0">
      <pane xSplit="6" ySplit="1" topLeftCell="I3" activePane="bottomRight" state="frozen"/>
      <selection activeCell="B4" sqref="B4:E6"/>
      <selection pane="topRight" activeCell="B4" sqref="B4:E6"/>
      <selection pane="bottomLeft" activeCell="B4" sqref="B4:E6"/>
      <selection pane="bottomRight" activeCell="B4" sqref="B4:E6"/>
    </sheetView>
  </sheetViews>
  <sheetFormatPr defaultRowHeight="14.5" x14ac:dyDescent="0.35"/>
  <cols>
    <col min="1" max="1" width="13.90625" bestFit="1" customWidth="1"/>
    <col min="2" max="2" width="20.6328125" bestFit="1" customWidth="1"/>
    <col min="3" max="3" width="20.1796875" bestFit="1" customWidth="1"/>
    <col min="4" max="4" width="20.1796875" customWidth="1"/>
    <col min="5" max="5" width="49.6328125" customWidth="1"/>
    <col min="6" max="6" width="15.453125" bestFit="1" customWidth="1"/>
    <col min="7" max="7" width="12.6328125" bestFit="1" customWidth="1"/>
    <col min="8" max="8" width="20.90625" bestFit="1" customWidth="1"/>
    <col min="9" max="9" width="18.453125" bestFit="1" customWidth="1"/>
    <col min="10" max="10" width="14.54296875" bestFit="1" customWidth="1"/>
    <col min="11" max="11" width="15.08984375" bestFit="1" customWidth="1"/>
  </cols>
  <sheetData>
    <row r="2" spans="1:11" x14ac:dyDescent="0.35">
      <c r="A2" s="1" t="s">
        <v>0</v>
      </c>
      <c r="B2" s="1" t="s">
        <v>1</v>
      </c>
      <c r="C2" s="1" t="s">
        <v>2</v>
      </c>
      <c r="D2" s="1" t="s">
        <v>184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 x14ac:dyDescent="0.35">
      <c r="A3" s="2" t="s">
        <v>10</v>
      </c>
      <c r="B3" s="2" t="s">
        <v>11</v>
      </c>
      <c r="C3" s="2" t="s">
        <v>11</v>
      </c>
      <c r="D3" s="2" t="s">
        <v>185</v>
      </c>
      <c r="E3" s="2" t="s">
        <v>103</v>
      </c>
      <c r="F3" s="2"/>
      <c r="G3" s="3">
        <v>215989.2</v>
      </c>
      <c r="H3" s="3">
        <f>I3/G3</f>
        <v>95.645570669737182</v>
      </c>
      <c r="I3" s="3">
        <v>20658410.2925</v>
      </c>
      <c r="J3" s="3">
        <v>126.57389999999999</v>
      </c>
      <c r="K3" s="3">
        <v>16515153.4</v>
      </c>
    </row>
    <row r="4" spans="1:11" x14ac:dyDescent="0.35">
      <c r="A4" s="2" t="s">
        <v>10</v>
      </c>
      <c r="B4" s="2" t="s">
        <v>106</v>
      </c>
      <c r="C4" s="2" t="s">
        <v>105</v>
      </c>
      <c r="D4" s="2" t="s">
        <v>186</v>
      </c>
      <c r="E4" s="2" t="s">
        <v>81</v>
      </c>
      <c r="F4" s="2" t="s">
        <v>82</v>
      </c>
      <c r="G4" s="3">
        <v>2238333.7069999999</v>
      </c>
      <c r="H4" s="3">
        <v>31.27</v>
      </c>
      <c r="I4" s="3">
        <v>70000000</v>
      </c>
      <c r="J4" s="3">
        <v>40.557299999999998</v>
      </c>
      <c r="K4" s="3">
        <v>90780771.650000006</v>
      </c>
    </row>
    <row r="5" spans="1:11" x14ac:dyDescent="0.35">
      <c r="A5" s="2" t="s">
        <v>10</v>
      </c>
      <c r="B5" s="2" t="s">
        <v>107</v>
      </c>
      <c r="C5" s="2" t="s">
        <v>105</v>
      </c>
      <c r="D5" s="2" t="s">
        <v>187</v>
      </c>
      <c r="E5" s="2" t="s">
        <v>85</v>
      </c>
      <c r="F5" s="2" t="s">
        <v>86</v>
      </c>
      <c r="G5" s="3">
        <v>7523.049</v>
      </c>
      <c r="H5" s="3">
        <v>5629.13</v>
      </c>
      <c r="I5" s="3">
        <v>42348194.170000002</v>
      </c>
      <c r="J5" s="3">
        <v>5713.3459000000003</v>
      </c>
      <c r="K5" s="3">
        <v>42981781.159999996</v>
      </c>
    </row>
    <row r="6" spans="1:11" x14ac:dyDescent="0.35">
      <c r="A6" s="2" t="s">
        <v>10</v>
      </c>
      <c r="B6" s="2" t="s">
        <v>108</v>
      </c>
      <c r="C6" s="2" t="s">
        <v>105</v>
      </c>
      <c r="D6" s="2" t="s">
        <v>186</v>
      </c>
      <c r="E6" s="2" t="s">
        <v>87</v>
      </c>
      <c r="F6" s="2" t="s">
        <v>88</v>
      </c>
      <c r="G6" s="3">
        <v>5091.3810000000003</v>
      </c>
      <c r="H6" s="3">
        <v>267.7</v>
      </c>
      <c r="I6" s="3">
        <v>1362979.88</v>
      </c>
      <c r="J6" s="3">
        <v>270.40600000000001</v>
      </c>
      <c r="K6" s="3">
        <v>1376739.97</v>
      </c>
    </row>
    <row r="7" spans="1:11" x14ac:dyDescent="0.35">
      <c r="A7" s="2" t="s">
        <v>10</v>
      </c>
      <c r="B7" s="2" t="s">
        <v>108</v>
      </c>
      <c r="C7" s="2" t="s">
        <v>105</v>
      </c>
      <c r="D7" s="2" t="s">
        <v>187</v>
      </c>
      <c r="E7" s="2" t="s">
        <v>109</v>
      </c>
      <c r="F7" s="2" t="s">
        <v>88</v>
      </c>
      <c r="G7" s="3">
        <v>25771.215</v>
      </c>
      <c r="H7" s="3">
        <v>268.81</v>
      </c>
      <c r="I7" s="3">
        <v>6927520.1699999999</v>
      </c>
      <c r="J7" s="3">
        <v>270.40600000000001</v>
      </c>
      <c r="K7" s="3">
        <v>6968691.1600000001</v>
      </c>
    </row>
    <row r="8" spans="1:11" x14ac:dyDescent="0.35">
      <c r="A8" s="2" t="s">
        <v>10</v>
      </c>
      <c r="B8" s="2" t="s">
        <v>110</v>
      </c>
      <c r="C8" s="2" t="s">
        <v>115</v>
      </c>
      <c r="D8" s="2" t="s">
        <v>186</v>
      </c>
      <c r="E8" s="2" t="s">
        <v>23</v>
      </c>
      <c r="F8" s="2" t="s">
        <v>24</v>
      </c>
      <c r="G8" s="3">
        <v>5803</v>
      </c>
      <c r="H8" s="3">
        <v>350.11</v>
      </c>
      <c r="I8" s="3">
        <v>2031691.23</v>
      </c>
      <c r="J8" s="3">
        <v>396.2</v>
      </c>
      <c r="K8" s="3">
        <v>2299148.6</v>
      </c>
    </row>
    <row r="9" spans="1:11" x14ac:dyDescent="0.35">
      <c r="A9" s="2" t="s">
        <v>10</v>
      </c>
      <c r="B9" s="2" t="s">
        <v>110</v>
      </c>
      <c r="C9" s="2" t="s">
        <v>115</v>
      </c>
      <c r="D9" s="2" t="s">
        <v>186</v>
      </c>
      <c r="E9" s="2" t="s">
        <v>25</v>
      </c>
      <c r="F9" s="2" t="s">
        <v>26</v>
      </c>
      <c r="G9" s="3">
        <v>433</v>
      </c>
      <c r="H9" s="3">
        <v>1407.78</v>
      </c>
      <c r="I9" s="3">
        <v>609568.55000000005</v>
      </c>
      <c r="J9" s="3">
        <v>1643.7</v>
      </c>
      <c r="K9" s="3">
        <v>711722.1</v>
      </c>
    </row>
    <row r="10" spans="1:11" x14ac:dyDescent="0.35">
      <c r="A10" s="2" t="s">
        <v>10</v>
      </c>
      <c r="B10" s="2" t="s">
        <v>110</v>
      </c>
      <c r="C10" s="2" t="s">
        <v>115</v>
      </c>
      <c r="D10" s="2" t="s">
        <v>186</v>
      </c>
      <c r="E10" s="2" t="s">
        <v>27</v>
      </c>
      <c r="F10" s="2" t="s">
        <v>28</v>
      </c>
      <c r="G10" s="3">
        <v>406</v>
      </c>
      <c r="H10" s="3">
        <v>1966.5</v>
      </c>
      <c r="I10" s="3">
        <v>798399.98</v>
      </c>
      <c r="J10" s="3">
        <v>1986.1</v>
      </c>
      <c r="K10" s="3">
        <v>806356.6</v>
      </c>
    </row>
    <row r="11" spans="1:11" x14ac:dyDescent="0.35">
      <c r="A11" s="2" t="s">
        <v>10</v>
      </c>
      <c r="B11" s="2" t="s">
        <v>110</v>
      </c>
      <c r="C11" s="2" t="s">
        <v>115</v>
      </c>
      <c r="D11" s="2" t="s">
        <v>186</v>
      </c>
      <c r="E11" s="2" t="s">
        <v>29</v>
      </c>
      <c r="F11" s="2" t="s">
        <v>30</v>
      </c>
      <c r="G11" s="3">
        <v>4038</v>
      </c>
      <c r="H11" s="3">
        <v>358.28</v>
      </c>
      <c r="I11" s="3">
        <v>1446751.19</v>
      </c>
      <c r="J11" s="3">
        <v>410.85</v>
      </c>
      <c r="K11" s="3">
        <v>1659012.3</v>
      </c>
    </row>
    <row r="12" spans="1:11" x14ac:dyDescent="0.35">
      <c r="A12" s="2" t="s">
        <v>10</v>
      </c>
      <c r="B12" s="2" t="s">
        <v>110</v>
      </c>
      <c r="C12" s="2" t="s">
        <v>115</v>
      </c>
      <c r="D12" s="2" t="s">
        <v>186</v>
      </c>
      <c r="E12" s="2" t="s">
        <v>15</v>
      </c>
      <c r="F12" s="2" t="s">
        <v>16</v>
      </c>
      <c r="G12" s="3">
        <v>4458</v>
      </c>
      <c r="H12" s="3">
        <v>138.05000000000001</v>
      </c>
      <c r="I12" s="3">
        <v>615433.86</v>
      </c>
      <c r="J12" s="3">
        <v>129.80000000000001</v>
      </c>
      <c r="K12" s="3">
        <v>578648.4</v>
      </c>
    </row>
    <row r="13" spans="1:11" x14ac:dyDescent="0.35">
      <c r="A13" s="2" t="s">
        <v>10</v>
      </c>
      <c r="B13" s="2" t="s">
        <v>110</v>
      </c>
      <c r="C13" s="2" t="s">
        <v>115</v>
      </c>
      <c r="D13" s="2" t="s">
        <v>186</v>
      </c>
      <c r="E13" s="2" t="s">
        <v>31</v>
      </c>
      <c r="F13" s="2" t="s">
        <v>32</v>
      </c>
      <c r="G13" s="3">
        <v>119</v>
      </c>
      <c r="H13" s="3">
        <v>885.11</v>
      </c>
      <c r="I13" s="3">
        <v>105328.34</v>
      </c>
      <c r="J13" s="3">
        <v>849.05</v>
      </c>
      <c r="K13" s="3">
        <v>101036.95</v>
      </c>
    </row>
    <row r="14" spans="1:11" x14ac:dyDescent="0.35">
      <c r="A14" s="2" t="s">
        <v>10</v>
      </c>
      <c r="B14" s="2" t="s">
        <v>110</v>
      </c>
      <c r="C14" s="2" t="s">
        <v>115</v>
      </c>
      <c r="D14" s="2" t="s">
        <v>186</v>
      </c>
      <c r="E14" s="2" t="s">
        <v>33</v>
      </c>
      <c r="F14" s="2" t="s">
        <v>34</v>
      </c>
      <c r="G14" s="3">
        <v>515</v>
      </c>
      <c r="H14" s="3">
        <v>1613.65</v>
      </c>
      <c r="I14" s="3">
        <v>831030.51</v>
      </c>
      <c r="J14" s="3">
        <v>1898.9</v>
      </c>
      <c r="K14" s="3">
        <v>977933.5</v>
      </c>
    </row>
    <row r="15" spans="1:11" x14ac:dyDescent="0.35">
      <c r="A15" s="2" t="s">
        <v>10</v>
      </c>
      <c r="B15" s="2" t="s">
        <v>110</v>
      </c>
      <c r="C15" s="2" t="s">
        <v>115</v>
      </c>
      <c r="D15" s="2" t="s">
        <v>186</v>
      </c>
      <c r="E15" s="2" t="s">
        <v>35</v>
      </c>
      <c r="F15" s="2" t="s">
        <v>36</v>
      </c>
      <c r="G15" s="3">
        <v>325</v>
      </c>
      <c r="H15" s="3">
        <v>2391.62</v>
      </c>
      <c r="I15" s="3">
        <v>777277.83</v>
      </c>
      <c r="J15" s="3">
        <v>3003</v>
      </c>
      <c r="K15" s="3">
        <v>975975</v>
      </c>
    </row>
    <row r="16" spans="1:11" x14ac:dyDescent="0.35">
      <c r="A16" s="2" t="s">
        <v>10</v>
      </c>
      <c r="B16" s="2" t="s">
        <v>110</v>
      </c>
      <c r="C16" s="2" t="s">
        <v>115</v>
      </c>
      <c r="D16" s="2" t="s">
        <v>186</v>
      </c>
      <c r="E16" s="2" t="s">
        <v>37</v>
      </c>
      <c r="F16" s="2" t="s">
        <v>38</v>
      </c>
      <c r="G16" s="3">
        <v>258</v>
      </c>
      <c r="H16" s="3">
        <v>2339.7600000000002</v>
      </c>
      <c r="I16" s="3">
        <v>603657.54</v>
      </c>
      <c r="J16" s="3">
        <v>2964.1</v>
      </c>
      <c r="K16" s="3">
        <v>764737.8</v>
      </c>
    </row>
    <row r="17" spans="1:11" x14ac:dyDescent="0.35">
      <c r="A17" s="2" t="s">
        <v>10</v>
      </c>
      <c r="B17" s="2" t="s">
        <v>110</v>
      </c>
      <c r="C17" s="2" t="s">
        <v>115</v>
      </c>
      <c r="D17" s="2" t="s">
        <v>186</v>
      </c>
      <c r="E17" s="2" t="s">
        <v>39</v>
      </c>
      <c r="F17" s="2" t="s">
        <v>40</v>
      </c>
      <c r="G17" s="3">
        <v>631</v>
      </c>
      <c r="H17" s="3">
        <v>1363.72</v>
      </c>
      <c r="I17" s="3">
        <v>860506.22</v>
      </c>
      <c r="J17" s="3">
        <v>1409.3</v>
      </c>
      <c r="K17" s="3">
        <v>889268.3</v>
      </c>
    </row>
    <row r="18" spans="1:11" x14ac:dyDescent="0.35">
      <c r="A18" s="2" t="s">
        <v>10</v>
      </c>
      <c r="B18" s="2" t="s">
        <v>110</v>
      </c>
      <c r="C18" s="2" t="s">
        <v>115</v>
      </c>
      <c r="D18" s="2" t="s">
        <v>186</v>
      </c>
      <c r="E18" s="2" t="s">
        <v>41</v>
      </c>
      <c r="F18" s="2" t="s">
        <v>42</v>
      </c>
      <c r="G18" s="3">
        <v>135</v>
      </c>
      <c r="H18" s="3">
        <v>4376.04</v>
      </c>
      <c r="I18" s="3">
        <v>590764.91</v>
      </c>
      <c r="J18" s="3">
        <v>5316</v>
      </c>
      <c r="K18" s="3">
        <v>717660</v>
      </c>
    </row>
    <row r="19" spans="1:11" x14ac:dyDescent="0.35">
      <c r="A19" s="2" t="s">
        <v>10</v>
      </c>
      <c r="B19" s="2" t="s">
        <v>110</v>
      </c>
      <c r="C19" s="2" t="s">
        <v>115</v>
      </c>
      <c r="D19" s="2" t="s">
        <v>186</v>
      </c>
      <c r="E19" s="2" t="s">
        <v>43</v>
      </c>
      <c r="F19" s="2" t="s">
        <v>44</v>
      </c>
      <c r="G19" s="3">
        <v>512</v>
      </c>
      <c r="H19" s="3">
        <v>500.51</v>
      </c>
      <c r="I19" s="3">
        <v>256261.48</v>
      </c>
      <c r="J19" s="3">
        <v>615.29999999999995</v>
      </c>
      <c r="K19" s="3">
        <v>315033.59999999998</v>
      </c>
    </row>
    <row r="20" spans="1:11" x14ac:dyDescent="0.35">
      <c r="A20" s="2" t="s">
        <v>10</v>
      </c>
      <c r="B20" s="2" t="s">
        <v>110</v>
      </c>
      <c r="C20" s="2" t="s">
        <v>115</v>
      </c>
      <c r="D20" s="2" t="s">
        <v>186</v>
      </c>
      <c r="E20" s="2" t="s">
        <v>45</v>
      </c>
      <c r="F20" s="2" t="s">
        <v>46</v>
      </c>
      <c r="G20" s="3">
        <v>243</v>
      </c>
      <c r="H20" s="3">
        <v>4074.83</v>
      </c>
      <c r="I20" s="3">
        <v>990184.65</v>
      </c>
      <c r="J20" s="3">
        <v>4031.5</v>
      </c>
      <c r="K20" s="3">
        <v>979654.5</v>
      </c>
    </row>
    <row r="21" spans="1:11" x14ac:dyDescent="0.35">
      <c r="A21" s="2" t="s">
        <v>10</v>
      </c>
      <c r="B21" s="2" t="s">
        <v>110</v>
      </c>
      <c r="C21" s="2" t="s">
        <v>115</v>
      </c>
      <c r="D21" s="2" t="s">
        <v>186</v>
      </c>
      <c r="E21" s="2" t="s">
        <v>47</v>
      </c>
      <c r="F21" s="2" t="s">
        <v>48</v>
      </c>
      <c r="G21" s="3">
        <v>534</v>
      </c>
      <c r="H21" s="3">
        <v>1611.45</v>
      </c>
      <c r="I21" s="3">
        <v>860513.91</v>
      </c>
      <c r="J21" s="3">
        <v>1674.5</v>
      </c>
      <c r="K21" s="3">
        <v>894183</v>
      </c>
    </row>
    <row r="22" spans="1:11" x14ac:dyDescent="0.35">
      <c r="A22" s="2" t="s">
        <v>10</v>
      </c>
      <c r="B22" s="2" t="s">
        <v>110</v>
      </c>
      <c r="C22" s="2" t="s">
        <v>115</v>
      </c>
      <c r="D22" s="2" t="s">
        <v>186</v>
      </c>
      <c r="E22" s="2" t="s">
        <v>49</v>
      </c>
      <c r="F22" s="2" t="s">
        <v>50</v>
      </c>
      <c r="G22" s="3">
        <v>153</v>
      </c>
      <c r="H22" s="3">
        <v>4372.2700000000004</v>
      </c>
      <c r="I22" s="3">
        <v>668957.18999999994</v>
      </c>
      <c r="J22" s="3">
        <v>4643.2</v>
      </c>
      <c r="K22" s="3">
        <v>710409.6</v>
      </c>
    </row>
    <row r="23" spans="1:11" x14ac:dyDescent="0.35">
      <c r="A23" s="2" t="s">
        <v>10</v>
      </c>
      <c r="B23" s="2" t="s">
        <v>110</v>
      </c>
      <c r="C23" s="2" t="s">
        <v>115</v>
      </c>
      <c r="D23" s="2" t="s">
        <v>186</v>
      </c>
      <c r="E23" s="2" t="s">
        <v>19</v>
      </c>
      <c r="F23" s="2" t="s">
        <v>20</v>
      </c>
      <c r="G23" s="3">
        <v>375</v>
      </c>
      <c r="H23" s="3">
        <v>1598.74</v>
      </c>
      <c r="I23" s="3">
        <v>599526.51</v>
      </c>
      <c r="J23" s="3">
        <v>1551.2</v>
      </c>
      <c r="K23" s="3">
        <v>581700</v>
      </c>
    </row>
    <row r="24" spans="1:11" x14ac:dyDescent="0.35">
      <c r="A24" s="2" t="s">
        <v>10</v>
      </c>
      <c r="B24" s="2" t="s">
        <v>110</v>
      </c>
      <c r="C24" s="2" t="s">
        <v>115</v>
      </c>
      <c r="D24" s="2" t="s">
        <v>186</v>
      </c>
      <c r="E24" s="2" t="s">
        <v>21</v>
      </c>
      <c r="F24" s="2" t="s">
        <v>22</v>
      </c>
      <c r="G24" s="3">
        <v>764</v>
      </c>
      <c r="H24" s="3">
        <v>1104.18</v>
      </c>
      <c r="I24" s="3">
        <v>843595.61</v>
      </c>
      <c r="J24" s="3">
        <v>1603</v>
      </c>
      <c r="K24" s="3">
        <v>1224692</v>
      </c>
    </row>
    <row r="25" spans="1:11" x14ac:dyDescent="0.35">
      <c r="A25" s="2" t="s">
        <v>10</v>
      </c>
      <c r="B25" s="2" t="s">
        <v>110</v>
      </c>
      <c r="C25" s="2" t="s">
        <v>115</v>
      </c>
      <c r="D25" s="2" t="s">
        <v>186</v>
      </c>
      <c r="E25" s="2" t="s">
        <v>51</v>
      </c>
      <c r="F25" s="2" t="s">
        <v>52</v>
      </c>
      <c r="G25" s="3">
        <v>26</v>
      </c>
      <c r="H25" s="3">
        <v>37483.07</v>
      </c>
      <c r="I25" s="3">
        <v>974559.82</v>
      </c>
      <c r="J25" s="3">
        <v>37020</v>
      </c>
      <c r="K25" s="3">
        <v>962520</v>
      </c>
    </row>
    <row r="26" spans="1:11" x14ac:dyDescent="0.35">
      <c r="A26" s="2" t="s">
        <v>10</v>
      </c>
      <c r="B26" s="2" t="s">
        <v>110</v>
      </c>
      <c r="C26" s="2" t="s">
        <v>115</v>
      </c>
      <c r="D26" s="2" t="s">
        <v>186</v>
      </c>
      <c r="E26" s="2" t="s">
        <v>53</v>
      </c>
      <c r="F26" s="2" t="s">
        <v>54</v>
      </c>
      <c r="G26" s="3">
        <v>68</v>
      </c>
      <c r="H26" s="3">
        <v>4689.68</v>
      </c>
      <c r="I26" s="3">
        <v>318898.55</v>
      </c>
      <c r="J26" s="3">
        <v>5540</v>
      </c>
      <c r="K26" s="3">
        <v>376720</v>
      </c>
    </row>
    <row r="27" spans="1:11" x14ac:dyDescent="0.35">
      <c r="A27" s="2" t="s">
        <v>10</v>
      </c>
      <c r="B27" s="2" t="s">
        <v>110</v>
      </c>
      <c r="C27" s="2" t="s">
        <v>115</v>
      </c>
      <c r="D27" s="2" t="s">
        <v>186</v>
      </c>
      <c r="E27" s="2" t="s">
        <v>55</v>
      </c>
      <c r="F27" s="2" t="s">
        <v>56</v>
      </c>
      <c r="G27" s="3">
        <v>408</v>
      </c>
      <c r="H27" s="3">
        <v>1517.69</v>
      </c>
      <c r="I27" s="3">
        <v>619218.89</v>
      </c>
      <c r="J27" s="3">
        <v>1766</v>
      </c>
      <c r="K27" s="3">
        <v>720528</v>
      </c>
    </row>
    <row r="28" spans="1:11" x14ac:dyDescent="0.35">
      <c r="A28" s="2" t="s">
        <v>10</v>
      </c>
      <c r="B28" s="2" t="s">
        <v>110</v>
      </c>
      <c r="C28" s="2" t="s">
        <v>115</v>
      </c>
      <c r="D28" s="2" t="s">
        <v>186</v>
      </c>
      <c r="E28" s="2" t="s">
        <v>57</v>
      </c>
      <c r="F28" s="2" t="s">
        <v>58</v>
      </c>
      <c r="G28" s="3">
        <v>1927</v>
      </c>
      <c r="H28" s="3">
        <v>514.49</v>
      </c>
      <c r="I28" s="3">
        <v>991416.77</v>
      </c>
      <c r="J28" s="3">
        <v>586</v>
      </c>
      <c r="K28" s="3">
        <v>1129222</v>
      </c>
    </row>
    <row r="29" spans="1:11" x14ac:dyDescent="0.35">
      <c r="A29" s="2" t="s">
        <v>10</v>
      </c>
      <c r="B29" s="2" t="s">
        <v>110</v>
      </c>
      <c r="C29" s="2" t="s">
        <v>115</v>
      </c>
      <c r="D29" s="2" t="s">
        <v>186</v>
      </c>
      <c r="E29" s="2" t="s">
        <v>59</v>
      </c>
      <c r="F29" s="2" t="s">
        <v>60</v>
      </c>
      <c r="G29" s="3">
        <v>316</v>
      </c>
      <c r="H29" s="3">
        <v>1978</v>
      </c>
      <c r="I29" s="3">
        <v>625048.43000000005</v>
      </c>
      <c r="J29" s="3">
        <v>1910.9</v>
      </c>
      <c r="K29" s="3">
        <v>603844.4</v>
      </c>
    </row>
    <row r="30" spans="1:11" x14ac:dyDescent="0.35">
      <c r="A30" s="2" t="s">
        <v>10</v>
      </c>
      <c r="B30" s="2" t="s">
        <v>110</v>
      </c>
      <c r="C30" s="2" t="s">
        <v>115</v>
      </c>
      <c r="D30" s="2" t="s">
        <v>186</v>
      </c>
      <c r="E30" s="2" t="s">
        <v>61</v>
      </c>
      <c r="F30" s="2" t="s">
        <v>62</v>
      </c>
      <c r="G30" s="3">
        <v>1909</v>
      </c>
      <c r="H30" s="3">
        <v>437.85</v>
      </c>
      <c r="I30" s="3">
        <v>835864.76</v>
      </c>
      <c r="J30" s="3">
        <v>470.2</v>
      </c>
      <c r="K30" s="3">
        <v>897611.8</v>
      </c>
    </row>
    <row r="31" spans="1:11" x14ac:dyDescent="0.35">
      <c r="A31" s="2" t="s">
        <v>10</v>
      </c>
      <c r="B31" s="2" t="s">
        <v>110</v>
      </c>
      <c r="C31" s="2" t="s">
        <v>115</v>
      </c>
      <c r="D31" s="2" t="s">
        <v>186</v>
      </c>
      <c r="E31" s="2" t="s">
        <v>63</v>
      </c>
      <c r="F31" s="2" t="s">
        <v>64</v>
      </c>
      <c r="G31" s="3">
        <v>779</v>
      </c>
      <c r="H31" s="3">
        <v>398.23</v>
      </c>
      <c r="I31" s="3">
        <v>310222.15000000002</v>
      </c>
      <c r="J31" s="3">
        <v>330.1</v>
      </c>
      <c r="K31" s="3">
        <v>257147.9</v>
      </c>
    </row>
    <row r="32" spans="1:11" x14ac:dyDescent="0.35">
      <c r="A32" s="2" t="s">
        <v>10</v>
      </c>
      <c r="B32" s="2" t="s">
        <v>110</v>
      </c>
      <c r="C32" s="2" t="s">
        <v>115</v>
      </c>
      <c r="D32" s="2" t="s">
        <v>186</v>
      </c>
      <c r="E32" s="2" t="s">
        <v>65</v>
      </c>
      <c r="F32" s="2" t="s">
        <v>66</v>
      </c>
      <c r="G32" s="3">
        <v>1464</v>
      </c>
      <c r="H32" s="3">
        <v>756.25</v>
      </c>
      <c r="I32" s="3">
        <v>1107149.55</v>
      </c>
      <c r="J32" s="3">
        <v>850.45</v>
      </c>
      <c r="K32" s="3">
        <v>1245058.8</v>
      </c>
    </row>
    <row r="33" spans="1:11" x14ac:dyDescent="0.35">
      <c r="A33" s="2" t="s">
        <v>10</v>
      </c>
      <c r="B33" s="2" t="s">
        <v>110</v>
      </c>
      <c r="C33" s="2" t="s">
        <v>115</v>
      </c>
      <c r="D33" s="2" t="s">
        <v>186</v>
      </c>
      <c r="E33" s="2" t="s">
        <v>67</v>
      </c>
      <c r="F33" s="2" t="s">
        <v>68</v>
      </c>
      <c r="G33" s="3">
        <v>384</v>
      </c>
      <c r="H33" s="3">
        <v>1420.26</v>
      </c>
      <c r="I33" s="3">
        <v>545381.19999999995</v>
      </c>
      <c r="J33" s="3">
        <v>1612.4</v>
      </c>
      <c r="K33" s="3">
        <v>619161.59999999998</v>
      </c>
    </row>
    <row r="34" spans="1:11" x14ac:dyDescent="0.35">
      <c r="A34" s="2" t="s">
        <v>10</v>
      </c>
      <c r="B34" s="2" t="s">
        <v>104</v>
      </c>
      <c r="C34" s="2" t="s">
        <v>12</v>
      </c>
      <c r="D34" s="2" t="s">
        <v>187</v>
      </c>
      <c r="E34" s="2" t="s">
        <v>73</v>
      </c>
      <c r="F34" s="2" t="s">
        <v>74</v>
      </c>
      <c r="G34" s="3">
        <v>2000</v>
      </c>
      <c r="H34" s="3">
        <v>4792</v>
      </c>
      <c r="I34" s="3">
        <v>9584000</v>
      </c>
      <c r="J34" s="3">
        <v>15033</v>
      </c>
      <c r="K34" s="3">
        <v>30066000</v>
      </c>
    </row>
    <row r="35" spans="1:11" x14ac:dyDescent="0.35">
      <c r="A35" s="2" t="s">
        <v>10</v>
      </c>
      <c r="B35" s="2" t="s">
        <v>111</v>
      </c>
      <c r="C35" s="2" t="s">
        <v>115</v>
      </c>
      <c r="D35" s="2" t="s">
        <v>188</v>
      </c>
      <c r="E35" s="2" t="s">
        <v>27</v>
      </c>
      <c r="F35" s="2" t="s">
        <v>28</v>
      </c>
      <c r="G35" s="3">
        <v>11983</v>
      </c>
      <c r="H35" s="3">
        <v>453.86</v>
      </c>
      <c r="I35" s="3">
        <v>5438628.79</v>
      </c>
      <c r="J35" s="3">
        <v>1986.1</v>
      </c>
      <c r="K35" s="3">
        <v>23799436.300000001</v>
      </c>
    </row>
    <row r="36" spans="1:11" x14ac:dyDescent="0.35">
      <c r="A36" s="2" t="s">
        <v>10</v>
      </c>
      <c r="B36" s="2" t="s">
        <v>111</v>
      </c>
      <c r="C36" s="2" t="s">
        <v>115</v>
      </c>
      <c r="D36" s="2" t="s">
        <v>188</v>
      </c>
      <c r="E36" s="2" t="s">
        <v>93</v>
      </c>
      <c r="F36" s="2" t="s">
        <v>94</v>
      </c>
      <c r="G36" s="3">
        <v>2635</v>
      </c>
      <c r="H36" s="3">
        <v>256.58</v>
      </c>
      <c r="I36" s="3">
        <v>676076.33</v>
      </c>
      <c r="J36" s="3">
        <v>165.3</v>
      </c>
      <c r="K36" s="3">
        <v>435565.5</v>
      </c>
    </row>
    <row r="37" spans="1:11" x14ac:dyDescent="0.35">
      <c r="A37" s="2" t="s">
        <v>10</v>
      </c>
      <c r="B37" s="2" t="s">
        <v>111</v>
      </c>
      <c r="C37" s="2" t="s">
        <v>115</v>
      </c>
      <c r="D37" s="2" t="s">
        <v>188</v>
      </c>
      <c r="E37" s="2" t="s">
        <v>95</v>
      </c>
      <c r="F37" s="2" t="s">
        <v>96</v>
      </c>
      <c r="G37" s="3">
        <v>26350</v>
      </c>
      <c r="H37" s="3">
        <v>164.26</v>
      </c>
      <c r="I37" s="3">
        <v>4328189.5999999996</v>
      </c>
      <c r="J37" s="3">
        <v>275.45</v>
      </c>
      <c r="K37" s="3">
        <v>7258107.5</v>
      </c>
    </row>
    <row r="38" spans="1:11" x14ac:dyDescent="0.35">
      <c r="A38" s="2" t="s">
        <v>10</v>
      </c>
      <c r="B38" s="2" t="s">
        <v>111</v>
      </c>
      <c r="C38" s="2" t="s">
        <v>115</v>
      </c>
      <c r="D38" s="2" t="s">
        <v>188</v>
      </c>
      <c r="E38" s="2" t="s">
        <v>17</v>
      </c>
      <c r="F38" s="2" t="s">
        <v>18</v>
      </c>
      <c r="G38" s="3">
        <v>10250</v>
      </c>
      <c r="H38" s="3">
        <v>488.45</v>
      </c>
      <c r="I38" s="3">
        <v>5006639.07</v>
      </c>
      <c r="J38" s="3">
        <v>738.9</v>
      </c>
      <c r="K38" s="3">
        <v>7573725</v>
      </c>
    </row>
    <row r="39" spans="1:11" x14ac:dyDescent="0.35">
      <c r="A39" s="2" t="s">
        <v>10</v>
      </c>
      <c r="B39" s="2" t="s">
        <v>111</v>
      </c>
      <c r="C39" s="2" t="s">
        <v>115</v>
      </c>
      <c r="D39" s="2" t="s">
        <v>188</v>
      </c>
      <c r="E39" s="2" t="s">
        <v>97</v>
      </c>
      <c r="F39" s="2" t="s">
        <v>98</v>
      </c>
      <c r="G39" s="3">
        <v>45220</v>
      </c>
      <c r="H39" s="3">
        <v>221.59</v>
      </c>
      <c r="I39" s="3">
        <v>10020172.199999999</v>
      </c>
      <c r="J39" s="3">
        <v>554.29999999999995</v>
      </c>
      <c r="K39" s="3">
        <v>25065446</v>
      </c>
    </row>
    <row r="40" spans="1:11" x14ac:dyDescent="0.35">
      <c r="A40" s="2" t="s">
        <v>10</v>
      </c>
      <c r="B40" s="2" t="s">
        <v>111</v>
      </c>
      <c r="C40" s="2" t="s">
        <v>115</v>
      </c>
      <c r="D40" s="2" t="s">
        <v>188</v>
      </c>
      <c r="E40" s="2" t="s">
        <v>99</v>
      </c>
      <c r="F40" s="2" t="s">
        <v>100</v>
      </c>
      <c r="G40" s="3">
        <v>17857</v>
      </c>
      <c r="H40" s="3">
        <v>279.85000000000002</v>
      </c>
      <c r="I40" s="3">
        <v>4997214.13</v>
      </c>
      <c r="J40" s="3">
        <v>335</v>
      </c>
      <c r="K40" s="3">
        <v>5982095</v>
      </c>
    </row>
    <row r="41" spans="1:11" x14ac:dyDescent="0.35">
      <c r="A41" s="2" t="s">
        <v>10</v>
      </c>
      <c r="B41" s="2" t="s">
        <v>111</v>
      </c>
      <c r="C41" s="2" t="s">
        <v>115</v>
      </c>
      <c r="D41" s="2" t="s">
        <v>188</v>
      </c>
      <c r="E41" s="2" t="s">
        <v>71</v>
      </c>
      <c r="F41" s="2" t="s">
        <v>72</v>
      </c>
      <c r="G41" s="3">
        <v>65250</v>
      </c>
      <c r="H41" s="3">
        <v>84.6</v>
      </c>
      <c r="I41" s="3">
        <v>5520107.2400000002</v>
      </c>
      <c r="J41" s="3">
        <v>93.27</v>
      </c>
      <c r="K41" s="3">
        <v>6085867.5</v>
      </c>
    </row>
    <row r="42" spans="1:11" x14ac:dyDescent="0.35">
      <c r="A42" s="2" t="s">
        <v>10</v>
      </c>
      <c r="B42" s="2" t="s">
        <v>111</v>
      </c>
      <c r="C42" s="2" t="s">
        <v>115</v>
      </c>
      <c r="D42" s="2" t="s">
        <v>188</v>
      </c>
      <c r="E42" s="2" t="s">
        <v>79</v>
      </c>
      <c r="F42" s="2" t="s">
        <v>80</v>
      </c>
      <c r="G42" s="3">
        <v>30750</v>
      </c>
      <c r="H42" s="3">
        <v>244.33</v>
      </c>
      <c r="I42" s="3">
        <v>7513088.4500000002</v>
      </c>
      <c r="J42" s="3">
        <v>379.5</v>
      </c>
      <c r="K42" s="3">
        <v>11669625</v>
      </c>
    </row>
    <row r="43" spans="1:11" x14ac:dyDescent="0.35">
      <c r="A43" s="2" t="s">
        <v>10</v>
      </c>
      <c r="B43" s="2" t="s">
        <v>112</v>
      </c>
      <c r="C43" s="2" t="s">
        <v>114</v>
      </c>
      <c r="D43" s="2" t="s">
        <v>185</v>
      </c>
      <c r="E43" s="2" t="s">
        <v>91</v>
      </c>
      <c r="F43" s="2" t="s">
        <v>92</v>
      </c>
      <c r="G43" s="3">
        <v>30900</v>
      </c>
      <c r="H43" s="3">
        <v>99.51</v>
      </c>
      <c r="I43" s="3">
        <v>3074797.2</v>
      </c>
      <c r="J43" s="3">
        <v>115.73</v>
      </c>
      <c r="K43" s="3">
        <v>3576057</v>
      </c>
    </row>
    <row r="44" spans="1:11" x14ac:dyDescent="0.35">
      <c r="A44" s="2" t="s">
        <v>10</v>
      </c>
      <c r="B44" s="2" t="s">
        <v>113</v>
      </c>
      <c r="C44" s="2" t="s">
        <v>114</v>
      </c>
      <c r="D44" s="2" t="s">
        <v>187</v>
      </c>
      <c r="E44" s="2" t="s">
        <v>89</v>
      </c>
      <c r="F44" s="2" t="s">
        <v>90</v>
      </c>
      <c r="G44" s="3">
        <v>350000</v>
      </c>
      <c r="H44" s="3">
        <v>146.19</v>
      </c>
      <c r="I44" s="3">
        <v>51167034.329999998</v>
      </c>
      <c r="J44" s="3">
        <v>159.88999999999999</v>
      </c>
      <c r="K44" s="3">
        <v>55961500</v>
      </c>
    </row>
    <row r="45" spans="1:11" x14ac:dyDescent="0.35">
      <c r="A45" s="2" t="s">
        <v>10</v>
      </c>
      <c r="B45" s="2" t="s">
        <v>173</v>
      </c>
      <c r="C45" s="2" t="s">
        <v>172</v>
      </c>
      <c r="D45" s="2" t="s">
        <v>186</v>
      </c>
      <c r="E45" s="2" t="s">
        <v>174</v>
      </c>
      <c r="F45" s="2"/>
      <c r="G45" s="3">
        <v>83</v>
      </c>
      <c r="H45" s="3">
        <v>120880</v>
      </c>
      <c r="I45" s="3">
        <v>10033040</v>
      </c>
      <c r="J45" s="3">
        <v>120880</v>
      </c>
      <c r="K45" s="3">
        <v>10033040</v>
      </c>
    </row>
    <row r="46" spans="1:11" x14ac:dyDescent="0.35">
      <c r="A46" s="2" t="s">
        <v>10</v>
      </c>
      <c r="B46" s="2" t="s">
        <v>175</v>
      </c>
      <c r="C46" s="2" t="s">
        <v>175</v>
      </c>
      <c r="D46" s="2" t="s">
        <v>188</v>
      </c>
      <c r="E46" s="2" t="s">
        <v>176</v>
      </c>
      <c r="F46" s="2"/>
      <c r="G46" s="3"/>
      <c r="H46" s="3"/>
      <c r="I46" s="3">
        <v>1629616.26</v>
      </c>
      <c r="J46" s="3"/>
      <c r="K46" s="3">
        <v>1629616.26</v>
      </c>
    </row>
    <row r="47" spans="1:11" x14ac:dyDescent="0.35">
      <c r="A47" s="2" t="s">
        <v>10</v>
      </c>
      <c r="B47" s="2" t="s">
        <v>177</v>
      </c>
      <c r="C47" s="2" t="s">
        <v>177</v>
      </c>
      <c r="D47" s="2" t="s">
        <v>185</v>
      </c>
      <c r="E47" s="2" t="s">
        <v>178</v>
      </c>
      <c r="F47" s="2"/>
      <c r="G47" s="3">
        <v>1108.8049999999998</v>
      </c>
      <c r="H47" s="3">
        <v>177.22</v>
      </c>
      <c r="I47" s="3">
        <v>17700412.716000002</v>
      </c>
      <c r="J47" s="3">
        <v>20536.5131</v>
      </c>
      <c r="K47" s="3">
        <v>22770988.407845497</v>
      </c>
    </row>
    <row r="48" spans="1:11" x14ac:dyDescent="0.35">
      <c r="A48" s="2"/>
      <c r="B48" s="2"/>
      <c r="C48" s="2"/>
      <c r="D48" s="2"/>
      <c r="E48" s="2"/>
      <c r="F48" s="2"/>
      <c r="G48" s="3"/>
      <c r="H48" s="3"/>
      <c r="I48" s="3"/>
      <c r="J48" s="3"/>
      <c r="K48" s="3"/>
    </row>
    <row r="49" spans="1:11" x14ac:dyDescent="0.35">
      <c r="A49" s="2"/>
      <c r="B49" s="2"/>
      <c r="C49" s="2"/>
      <c r="D49" s="2"/>
      <c r="E49" s="2"/>
      <c r="F49" s="2"/>
      <c r="G49" s="3"/>
      <c r="H49" s="3"/>
      <c r="I49" s="3"/>
      <c r="J49" s="3"/>
      <c r="K49" s="3"/>
    </row>
    <row r="50" spans="1:11" x14ac:dyDescent="0.35">
      <c r="A50" s="2"/>
      <c r="B50" s="2"/>
      <c r="C50" s="2"/>
      <c r="D50" s="2"/>
      <c r="E50" s="2"/>
      <c r="F50" s="2"/>
      <c r="G50" s="3"/>
      <c r="H50" s="3"/>
      <c r="I50" s="3"/>
      <c r="J50" s="3"/>
      <c r="K50" s="3"/>
    </row>
    <row r="51" spans="1:11" x14ac:dyDescent="0.35">
      <c r="A51" s="2" t="s">
        <v>116</v>
      </c>
      <c r="B51" s="2" t="s">
        <v>180</v>
      </c>
      <c r="C51" s="2" t="s">
        <v>115</v>
      </c>
      <c r="D51" s="2" t="s">
        <v>185</v>
      </c>
      <c r="E51" s="2" t="s">
        <v>117</v>
      </c>
      <c r="F51" s="2" t="s">
        <v>118</v>
      </c>
      <c r="G51" s="3">
        <v>3169</v>
      </c>
      <c r="H51" s="3">
        <v>520.91999999999996</v>
      </c>
      <c r="I51" s="3">
        <v>1650780.27</v>
      </c>
      <c r="J51" s="3">
        <v>511.8</v>
      </c>
      <c r="K51" s="3">
        <v>1621894.2</v>
      </c>
    </row>
    <row r="52" spans="1:11" x14ac:dyDescent="0.35">
      <c r="A52" s="2" t="s">
        <v>116</v>
      </c>
      <c r="B52" s="2" t="s">
        <v>180</v>
      </c>
      <c r="C52" s="2" t="s">
        <v>115</v>
      </c>
      <c r="D52" s="2" t="s">
        <v>185</v>
      </c>
      <c r="E52" s="2" t="s">
        <v>13</v>
      </c>
      <c r="F52" s="2" t="s">
        <v>14</v>
      </c>
      <c r="G52" s="3">
        <v>3480</v>
      </c>
      <c r="H52" s="3">
        <v>1249.17</v>
      </c>
      <c r="I52" s="3">
        <v>4347124.5999999996</v>
      </c>
      <c r="J52" s="3">
        <v>1215.7</v>
      </c>
      <c r="K52" s="3">
        <v>4230636</v>
      </c>
    </row>
    <row r="53" spans="1:11" x14ac:dyDescent="0.35">
      <c r="A53" s="2" t="s">
        <v>116</v>
      </c>
      <c r="B53" s="2" t="s">
        <v>180</v>
      </c>
      <c r="C53" s="2" t="s">
        <v>115</v>
      </c>
      <c r="D53" s="2" t="s">
        <v>185</v>
      </c>
      <c r="E53" s="2" t="s">
        <v>119</v>
      </c>
      <c r="F53" s="2" t="s">
        <v>120</v>
      </c>
      <c r="G53" s="3">
        <v>142</v>
      </c>
      <c r="H53" s="3">
        <v>9033.19</v>
      </c>
      <c r="I53" s="3">
        <v>1282712.95</v>
      </c>
      <c r="J53" s="3">
        <v>11670</v>
      </c>
      <c r="K53" s="3">
        <v>1657140</v>
      </c>
    </row>
    <row r="54" spans="1:11" x14ac:dyDescent="0.35">
      <c r="A54" s="2" t="s">
        <v>116</v>
      </c>
      <c r="B54" s="2" t="s">
        <v>180</v>
      </c>
      <c r="C54" s="2" t="s">
        <v>115</v>
      </c>
      <c r="D54" s="2" t="s">
        <v>185</v>
      </c>
      <c r="E54" s="2" t="s">
        <v>69</v>
      </c>
      <c r="F54" s="2" t="s">
        <v>70</v>
      </c>
      <c r="G54" s="3">
        <v>2934</v>
      </c>
      <c r="H54" s="3">
        <v>879.1</v>
      </c>
      <c r="I54" s="3">
        <v>2579285.0099999998</v>
      </c>
      <c r="J54" s="3">
        <v>1089.8</v>
      </c>
      <c r="K54" s="3">
        <v>3197473.2</v>
      </c>
    </row>
    <row r="55" spans="1:11" x14ac:dyDescent="0.35">
      <c r="A55" s="2" t="s">
        <v>116</v>
      </c>
      <c r="B55" s="2" t="s">
        <v>180</v>
      </c>
      <c r="C55" s="2" t="s">
        <v>115</v>
      </c>
      <c r="D55" s="2" t="s">
        <v>185</v>
      </c>
      <c r="E55" s="2" t="s">
        <v>27</v>
      </c>
      <c r="F55" s="2" t="s">
        <v>28</v>
      </c>
      <c r="G55" s="3">
        <v>1082</v>
      </c>
      <c r="H55" s="3">
        <v>1833.2</v>
      </c>
      <c r="I55" s="3">
        <v>1983518.86</v>
      </c>
      <c r="J55" s="3">
        <v>1986.1</v>
      </c>
      <c r="K55" s="3">
        <v>2148960.2000000002</v>
      </c>
    </row>
    <row r="56" spans="1:11" x14ac:dyDescent="0.35">
      <c r="A56" s="2" t="s">
        <v>116</v>
      </c>
      <c r="B56" s="2" t="s">
        <v>180</v>
      </c>
      <c r="C56" s="2" t="s">
        <v>115</v>
      </c>
      <c r="D56" s="2" t="s">
        <v>185</v>
      </c>
      <c r="E56" s="2" t="s">
        <v>121</v>
      </c>
      <c r="F56" s="2" t="s">
        <v>122</v>
      </c>
      <c r="G56" s="3">
        <v>300</v>
      </c>
      <c r="H56" s="3">
        <v>5624.21</v>
      </c>
      <c r="I56" s="3">
        <v>1687262.86</v>
      </c>
      <c r="J56" s="3">
        <v>5507</v>
      </c>
      <c r="K56" s="3">
        <v>1652100</v>
      </c>
    </row>
    <row r="57" spans="1:11" x14ac:dyDescent="0.35">
      <c r="A57" s="2" t="s">
        <v>116</v>
      </c>
      <c r="B57" s="2" t="s">
        <v>180</v>
      </c>
      <c r="C57" s="2" t="s">
        <v>115</v>
      </c>
      <c r="D57" s="2" t="s">
        <v>185</v>
      </c>
      <c r="E57" s="2" t="s">
        <v>123</v>
      </c>
      <c r="F57" s="2" t="s">
        <v>124</v>
      </c>
      <c r="G57" s="3">
        <v>1058</v>
      </c>
      <c r="H57" s="3">
        <v>1897.98</v>
      </c>
      <c r="I57" s="3">
        <v>2008060.55</v>
      </c>
      <c r="J57" s="3">
        <v>1847</v>
      </c>
      <c r="K57" s="3">
        <v>1954126</v>
      </c>
    </row>
    <row r="58" spans="1:11" x14ac:dyDescent="0.35">
      <c r="A58" s="2" t="s">
        <v>116</v>
      </c>
      <c r="B58" s="2" t="s">
        <v>180</v>
      </c>
      <c r="C58" s="2" t="s">
        <v>115</v>
      </c>
      <c r="D58" s="2" t="s">
        <v>185</v>
      </c>
      <c r="E58" s="2" t="s">
        <v>125</v>
      </c>
      <c r="F58" s="2" t="s">
        <v>126</v>
      </c>
      <c r="G58" s="3">
        <v>3630</v>
      </c>
      <c r="H58" s="3">
        <v>417.96</v>
      </c>
      <c r="I58" s="3">
        <v>1517177.44</v>
      </c>
      <c r="J58" s="3">
        <v>412.9</v>
      </c>
      <c r="K58" s="3">
        <v>1498827</v>
      </c>
    </row>
    <row r="59" spans="1:11" x14ac:dyDescent="0.35">
      <c r="A59" s="2" t="s">
        <v>116</v>
      </c>
      <c r="B59" s="2" t="s">
        <v>180</v>
      </c>
      <c r="C59" s="2" t="s">
        <v>115</v>
      </c>
      <c r="D59" s="2" t="s">
        <v>185</v>
      </c>
      <c r="E59" s="2" t="s">
        <v>127</v>
      </c>
      <c r="F59" s="2" t="s">
        <v>128</v>
      </c>
      <c r="G59" s="3">
        <v>680</v>
      </c>
      <c r="H59" s="3">
        <v>1319.77</v>
      </c>
      <c r="I59" s="3">
        <v>897442.94</v>
      </c>
      <c r="J59" s="3">
        <v>1190.4000000000001</v>
      </c>
      <c r="K59" s="3">
        <v>809472</v>
      </c>
    </row>
    <row r="60" spans="1:11" x14ac:dyDescent="0.35">
      <c r="A60" s="2" t="s">
        <v>116</v>
      </c>
      <c r="B60" s="2" t="s">
        <v>180</v>
      </c>
      <c r="C60" s="2" t="s">
        <v>115</v>
      </c>
      <c r="D60" s="2" t="s">
        <v>185</v>
      </c>
      <c r="E60" s="2" t="s">
        <v>129</v>
      </c>
      <c r="F60" s="2" t="s">
        <v>130</v>
      </c>
      <c r="G60" s="3">
        <v>577</v>
      </c>
      <c r="H60" s="3">
        <v>2162.8000000000002</v>
      </c>
      <c r="I60" s="3">
        <v>1247935.1200000001</v>
      </c>
      <c r="J60" s="3">
        <v>2305.4</v>
      </c>
      <c r="K60" s="3">
        <v>1330215.8</v>
      </c>
    </row>
    <row r="61" spans="1:11" x14ac:dyDescent="0.35">
      <c r="A61" s="2" t="s">
        <v>116</v>
      </c>
      <c r="B61" s="2" t="s">
        <v>180</v>
      </c>
      <c r="C61" s="2" t="s">
        <v>115</v>
      </c>
      <c r="D61" s="2" t="s">
        <v>185</v>
      </c>
      <c r="E61" s="2" t="s">
        <v>131</v>
      </c>
      <c r="F61" s="2" t="s">
        <v>132</v>
      </c>
      <c r="G61" s="3">
        <v>2372</v>
      </c>
      <c r="H61" s="3">
        <v>604.42999999999995</v>
      </c>
      <c r="I61" s="3">
        <v>1433711.39</v>
      </c>
      <c r="J61" s="3">
        <v>850.25</v>
      </c>
      <c r="K61" s="3">
        <v>2016793</v>
      </c>
    </row>
    <row r="62" spans="1:11" x14ac:dyDescent="0.35">
      <c r="A62" s="2" t="s">
        <v>116</v>
      </c>
      <c r="B62" s="2" t="s">
        <v>180</v>
      </c>
      <c r="C62" s="2" t="s">
        <v>115</v>
      </c>
      <c r="D62" s="2" t="s">
        <v>185</v>
      </c>
      <c r="E62" s="2" t="s">
        <v>133</v>
      </c>
      <c r="F62" s="2" t="s">
        <v>134</v>
      </c>
      <c r="G62" s="3">
        <v>940</v>
      </c>
      <c r="H62" s="3">
        <v>2177.0700000000002</v>
      </c>
      <c r="I62" s="3">
        <v>2046449.81</v>
      </c>
      <c r="J62" s="3">
        <v>2061</v>
      </c>
      <c r="K62" s="3">
        <v>1937340</v>
      </c>
    </row>
    <row r="63" spans="1:11" x14ac:dyDescent="0.35">
      <c r="A63" s="2" t="s">
        <v>116</v>
      </c>
      <c r="B63" s="2" t="s">
        <v>180</v>
      </c>
      <c r="C63" s="2" t="s">
        <v>115</v>
      </c>
      <c r="D63" s="2" t="s">
        <v>185</v>
      </c>
      <c r="E63" s="2" t="s">
        <v>135</v>
      </c>
      <c r="F63" s="2" t="s">
        <v>136</v>
      </c>
      <c r="G63" s="3">
        <v>590</v>
      </c>
      <c r="H63" s="3">
        <v>1954.39</v>
      </c>
      <c r="I63" s="3">
        <v>1153091.93</v>
      </c>
      <c r="J63" s="3">
        <v>2180.1999999999998</v>
      </c>
      <c r="K63" s="3">
        <v>1286318</v>
      </c>
    </row>
    <row r="64" spans="1:11" x14ac:dyDescent="0.35">
      <c r="A64" s="2" t="s">
        <v>116</v>
      </c>
      <c r="B64" s="2" t="s">
        <v>180</v>
      </c>
      <c r="C64" s="2" t="s">
        <v>115</v>
      </c>
      <c r="D64" s="2" t="s">
        <v>185</v>
      </c>
      <c r="E64" s="2" t="s">
        <v>39</v>
      </c>
      <c r="F64" s="2" t="s">
        <v>40</v>
      </c>
      <c r="G64" s="3">
        <v>2853</v>
      </c>
      <c r="H64" s="3">
        <v>1246.48</v>
      </c>
      <c r="I64" s="3">
        <v>3556197.43</v>
      </c>
      <c r="J64" s="3">
        <v>1409.3</v>
      </c>
      <c r="K64" s="3">
        <v>4020732.9</v>
      </c>
    </row>
    <row r="65" spans="1:11" x14ac:dyDescent="0.35">
      <c r="A65" s="2" t="s">
        <v>116</v>
      </c>
      <c r="B65" s="2" t="s">
        <v>180</v>
      </c>
      <c r="C65" s="2" t="s">
        <v>115</v>
      </c>
      <c r="D65" s="2" t="s">
        <v>185</v>
      </c>
      <c r="E65" s="2" t="s">
        <v>137</v>
      </c>
      <c r="F65" s="2" t="s">
        <v>138</v>
      </c>
      <c r="G65" s="3">
        <v>1149</v>
      </c>
      <c r="H65" s="3">
        <v>1767.67</v>
      </c>
      <c r="I65" s="3">
        <v>2031053.39</v>
      </c>
      <c r="J65" s="3">
        <v>1623.5</v>
      </c>
      <c r="K65" s="3">
        <v>1865401.5</v>
      </c>
    </row>
    <row r="66" spans="1:11" x14ac:dyDescent="0.35">
      <c r="A66" s="2" t="s">
        <v>116</v>
      </c>
      <c r="B66" s="2" t="s">
        <v>180</v>
      </c>
      <c r="C66" s="2" t="s">
        <v>115</v>
      </c>
      <c r="D66" s="2" t="s">
        <v>185</v>
      </c>
      <c r="E66" s="2" t="s">
        <v>139</v>
      </c>
      <c r="F66" s="2" t="s">
        <v>140</v>
      </c>
      <c r="G66" s="3">
        <v>1060</v>
      </c>
      <c r="H66" s="3">
        <v>1058.3499999999999</v>
      </c>
      <c r="I66" s="3">
        <v>1121849.4099999999</v>
      </c>
      <c r="J66" s="3">
        <v>1143.2</v>
      </c>
      <c r="K66" s="3">
        <v>1211792</v>
      </c>
    </row>
    <row r="67" spans="1:11" x14ac:dyDescent="0.35">
      <c r="A67" s="2" t="s">
        <v>116</v>
      </c>
      <c r="B67" s="2" t="s">
        <v>180</v>
      </c>
      <c r="C67" s="2" t="s">
        <v>115</v>
      </c>
      <c r="D67" s="2" t="s">
        <v>185</v>
      </c>
      <c r="E67" s="2" t="s">
        <v>41</v>
      </c>
      <c r="F67" s="2" t="s">
        <v>42</v>
      </c>
      <c r="G67" s="3">
        <v>276</v>
      </c>
      <c r="H67" s="3">
        <v>4226.8900000000003</v>
      </c>
      <c r="I67" s="3">
        <v>1166622.18</v>
      </c>
      <c r="J67" s="3">
        <v>5316</v>
      </c>
      <c r="K67" s="3">
        <v>1467216</v>
      </c>
    </row>
    <row r="68" spans="1:11" x14ac:dyDescent="0.35">
      <c r="A68" s="2" t="s">
        <v>116</v>
      </c>
      <c r="B68" s="2" t="s">
        <v>180</v>
      </c>
      <c r="C68" s="2" t="s">
        <v>115</v>
      </c>
      <c r="D68" s="2" t="s">
        <v>185</v>
      </c>
      <c r="E68" s="2" t="s">
        <v>141</v>
      </c>
      <c r="F68" s="2" t="s">
        <v>142</v>
      </c>
      <c r="G68" s="3">
        <v>529</v>
      </c>
      <c r="H68" s="3">
        <v>3666.82</v>
      </c>
      <c r="I68" s="3">
        <v>1939746.61</v>
      </c>
      <c r="J68" s="3">
        <v>3698.1</v>
      </c>
      <c r="K68" s="3">
        <v>1956294.9</v>
      </c>
    </row>
    <row r="69" spans="1:11" x14ac:dyDescent="0.35">
      <c r="A69" s="2" t="s">
        <v>116</v>
      </c>
      <c r="B69" s="2" t="s">
        <v>180</v>
      </c>
      <c r="C69" s="2" t="s">
        <v>115</v>
      </c>
      <c r="D69" s="2" t="s">
        <v>185</v>
      </c>
      <c r="E69" s="2" t="s">
        <v>143</v>
      </c>
      <c r="F69" s="2" t="s">
        <v>144</v>
      </c>
      <c r="G69" s="3">
        <v>435</v>
      </c>
      <c r="H69" s="3">
        <v>3341.55</v>
      </c>
      <c r="I69" s="3">
        <v>1453575.89</v>
      </c>
      <c r="J69" s="3">
        <v>3475.5</v>
      </c>
      <c r="K69" s="3">
        <v>1511842.5</v>
      </c>
    </row>
    <row r="70" spans="1:11" x14ac:dyDescent="0.35">
      <c r="A70" s="2" t="s">
        <v>116</v>
      </c>
      <c r="B70" s="2" t="s">
        <v>180</v>
      </c>
      <c r="C70" s="2" t="s">
        <v>115</v>
      </c>
      <c r="D70" s="2" t="s">
        <v>185</v>
      </c>
      <c r="E70" s="2" t="s">
        <v>45</v>
      </c>
      <c r="F70" s="2" t="s">
        <v>46</v>
      </c>
      <c r="G70" s="3">
        <v>377</v>
      </c>
      <c r="H70" s="3">
        <v>3790.12</v>
      </c>
      <c r="I70" s="3">
        <v>1428873.67</v>
      </c>
      <c r="J70" s="3">
        <v>4031.5</v>
      </c>
      <c r="K70" s="3">
        <v>1519875.5</v>
      </c>
    </row>
    <row r="71" spans="1:11" x14ac:dyDescent="0.35">
      <c r="A71" s="2" t="s">
        <v>116</v>
      </c>
      <c r="B71" s="2" t="s">
        <v>180</v>
      </c>
      <c r="C71" s="2" t="s">
        <v>115</v>
      </c>
      <c r="D71" s="2" t="s">
        <v>185</v>
      </c>
      <c r="E71" s="2" t="s">
        <v>19</v>
      </c>
      <c r="F71" s="2" t="s">
        <v>20</v>
      </c>
      <c r="G71" s="3">
        <v>1125</v>
      </c>
      <c r="H71" s="3">
        <v>1561.48</v>
      </c>
      <c r="I71" s="3">
        <v>1756666.82</v>
      </c>
      <c r="J71" s="3">
        <v>1551.2</v>
      </c>
      <c r="K71" s="3">
        <v>1745100</v>
      </c>
    </row>
    <row r="72" spans="1:11" x14ac:dyDescent="0.35">
      <c r="A72" s="2" t="s">
        <v>116</v>
      </c>
      <c r="B72" s="2" t="s">
        <v>180</v>
      </c>
      <c r="C72" s="2" t="s">
        <v>115</v>
      </c>
      <c r="D72" s="2" t="s">
        <v>185</v>
      </c>
      <c r="E72" s="2" t="s">
        <v>21</v>
      </c>
      <c r="F72" s="2" t="s">
        <v>22</v>
      </c>
      <c r="G72" s="3">
        <v>1337</v>
      </c>
      <c r="H72" s="3">
        <v>1029.04</v>
      </c>
      <c r="I72" s="3">
        <v>1375823.63</v>
      </c>
      <c r="J72" s="3">
        <v>1603</v>
      </c>
      <c r="K72" s="3">
        <v>2143211</v>
      </c>
    </row>
    <row r="73" spans="1:11" x14ac:dyDescent="0.35">
      <c r="A73" s="2" t="s">
        <v>116</v>
      </c>
      <c r="B73" s="2" t="s">
        <v>180</v>
      </c>
      <c r="C73" s="2" t="s">
        <v>115</v>
      </c>
      <c r="D73" s="2" t="s">
        <v>185</v>
      </c>
      <c r="E73" s="2" t="s">
        <v>145</v>
      </c>
      <c r="F73" s="2" t="s">
        <v>146</v>
      </c>
      <c r="G73" s="3">
        <v>1593</v>
      </c>
      <c r="H73" s="3">
        <v>512.29999999999995</v>
      </c>
      <c r="I73" s="3">
        <v>816092.25</v>
      </c>
      <c r="J73" s="3">
        <v>745.5</v>
      </c>
      <c r="K73" s="3">
        <v>1187581.5</v>
      </c>
    </row>
    <row r="74" spans="1:11" x14ac:dyDescent="0.35">
      <c r="A74" s="2" t="s">
        <v>116</v>
      </c>
      <c r="B74" s="2" t="s">
        <v>180</v>
      </c>
      <c r="C74" s="2" t="s">
        <v>115</v>
      </c>
      <c r="D74" s="2" t="s">
        <v>185</v>
      </c>
      <c r="E74" s="2" t="s">
        <v>75</v>
      </c>
      <c r="F74" s="2" t="s">
        <v>76</v>
      </c>
      <c r="G74" s="3">
        <v>2172</v>
      </c>
      <c r="H74" s="3">
        <v>926.07</v>
      </c>
      <c r="I74" s="3">
        <v>2011414.3</v>
      </c>
      <c r="J74" s="3">
        <v>1123.5</v>
      </c>
      <c r="K74" s="3">
        <v>2440242</v>
      </c>
    </row>
    <row r="75" spans="1:11" x14ac:dyDescent="0.35">
      <c r="A75" s="2" t="s">
        <v>116</v>
      </c>
      <c r="B75" s="2" t="s">
        <v>180</v>
      </c>
      <c r="C75" s="2" t="s">
        <v>115</v>
      </c>
      <c r="D75" s="2" t="s">
        <v>185</v>
      </c>
      <c r="E75" s="2" t="s">
        <v>77</v>
      </c>
      <c r="F75" s="2" t="s">
        <v>78</v>
      </c>
      <c r="G75" s="3">
        <v>2612</v>
      </c>
      <c r="H75" s="3">
        <v>1058.54</v>
      </c>
      <c r="I75" s="3">
        <v>2764898.27</v>
      </c>
      <c r="J75" s="3">
        <v>1054.5999999999999</v>
      </c>
      <c r="K75" s="3">
        <v>2754615.2</v>
      </c>
    </row>
    <row r="76" spans="1:11" x14ac:dyDescent="0.35">
      <c r="A76" s="2" t="s">
        <v>116</v>
      </c>
      <c r="B76" s="2" t="s">
        <v>180</v>
      </c>
      <c r="C76" s="2" t="s">
        <v>115</v>
      </c>
      <c r="D76" s="2" t="s">
        <v>185</v>
      </c>
      <c r="E76" s="2" t="s">
        <v>147</v>
      </c>
      <c r="F76" s="2" t="s">
        <v>148</v>
      </c>
      <c r="G76" s="3">
        <v>390</v>
      </c>
      <c r="H76" s="3">
        <v>3684.3</v>
      </c>
      <c r="I76" s="3">
        <v>1436878.05</v>
      </c>
      <c r="J76" s="3">
        <v>3634.9</v>
      </c>
      <c r="K76" s="3">
        <v>1417611</v>
      </c>
    </row>
    <row r="77" spans="1:11" x14ac:dyDescent="0.35">
      <c r="A77" s="2" t="s">
        <v>116</v>
      </c>
      <c r="B77" s="2" t="s">
        <v>180</v>
      </c>
      <c r="C77" s="2" t="s">
        <v>115</v>
      </c>
      <c r="D77" s="2" t="s">
        <v>185</v>
      </c>
      <c r="E77" s="2" t="s">
        <v>101</v>
      </c>
      <c r="F77" s="2" t="s">
        <v>102</v>
      </c>
      <c r="G77" s="3">
        <v>694</v>
      </c>
      <c r="H77" s="3">
        <v>2458.44</v>
      </c>
      <c r="I77" s="3">
        <v>1706154.08</v>
      </c>
      <c r="J77" s="3">
        <v>2969.8</v>
      </c>
      <c r="K77" s="3">
        <v>2061041.2</v>
      </c>
    </row>
    <row r="78" spans="1:11" x14ac:dyDescent="0.35">
      <c r="A78" s="2" t="s">
        <v>116</v>
      </c>
      <c r="B78" s="2" t="s">
        <v>180</v>
      </c>
      <c r="C78" s="2" t="s">
        <v>115</v>
      </c>
      <c r="D78" s="2" t="s">
        <v>185</v>
      </c>
      <c r="E78" s="2" t="s">
        <v>149</v>
      </c>
      <c r="F78" s="2" t="s">
        <v>150</v>
      </c>
      <c r="G78" s="3">
        <v>155</v>
      </c>
      <c r="H78" s="3">
        <v>11242.61</v>
      </c>
      <c r="I78" s="3">
        <v>1742603.83</v>
      </c>
      <c r="J78" s="3">
        <v>11622</v>
      </c>
      <c r="K78" s="3">
        <v>1801410</v>
      </c>
    </row>
    <row r="79" spans="1:11" x14ac:dyDescent="0.35">
      <c r="A79" s="2" t="s">
        <v>116</v>
      </c>
      <c r="B79" s="2" t="s">
        <v>180</v>
      </c>
      <c r="C79" s="2" t="s">
        <v>115</v>
      </c>
      <c r="D79" s="2" t="s">
        <v>185</v>
      </c>
      <c r="E79" s="2" t="s">
        <v>151</v>
      </c>
      <c r="F79" s="2" t="s">
        <v>152</v>
      </c>
      <c r="G79" s="3">
        <v>354</v>
      </c>
      <c r="H79" s="3">
        <v>495.25</v>
      </c>
      <c r="I79" s="3">
        <v>175318.29</v>
      </c>
      <c r="J79" s="3">
        <v>862.8</v>
      </c>
      <c r="K79" s="3">
        <v>305431.2</v>
      </c>
    </row>
    <row r="80" spans="1:11" x14ac:dyDescent="0.35">
      <c r="A80" s="2" t="s">
        <v>116</v>
      </c>
      <c r="B80" s="2" t="s">
        <v>180</v>
      </c>
      <c r="C80" s="2" t="s">
        <v>115</v>
      </c>
      <c r="D80" s="2" t="s">
        <v>185</v>
      </c>
      <c r="E80" s="2" t="s">
        <v>153</v>
      </c>
      <c r="F80" s="2" t="s">
        <v>154</v>
      </c>
      <c r="G80" s="3">
        <v>3550</v>
      </c>
      <c r="H80" s="3">
        <v>450.85</v>
      </c>
      <c r="I80" s="3">
        <v>1600527.44</v>
      </c>
      <c r="J80" s="3">
        <v>447</v>
      </c>
      <c r="K80" s="3">
        <v>1586850</v>
      </c>
    </row>
    <row r="81" spans="1:11" x14ac:dyDescent="0.35">
      <c r="A81" s="2" t="s">
        <v>116</v>
      </c>
      <c r="B81" s="2" t="s">
        <v>180</v>
      </c>
      <c r="C81" s="2" t="s">
        <v>115</v>
      </c>
      <c r="D81" s="2" t="s">
        <v>185</v>
      </c>
      <c r="E81" s="2" t="s">
        <v>155</v>
      </c>
      <c r="F81" s="2" t="s">
        <v>156</v>
      </c>
      <c r="G81" s="3">
        <v>2384</v>
      </c>
      <c r="H81" s="3">
        <v>337.68</v>
      </c>
      <c r="I81" s="3">
        <v>805019.36</v>
      </c>
      <c r="J81" s="3">
        <v>295.14999999999998</v>
      </c>
      <c r="K81" s="3">
        <v>703637.6</v>
      </c>
    </row>
    <row r="82" spans="1:11" x14ac:dyDescent="0.35">
      <c r="A82" s="2" t="s">
        <v>116</v>
      </c>
      <c r="B82" s="2" t="s">
        <v>11</v>
      </c>
      <c r="C82" s="2" t="s">
        <v>11</v>
      </c>
      <c r="D82" s="2" t="s">
        <v>188</v>
      </c>
      <c r="E82" s="2" t="s">
        <v>159</v>
      </c>
      <c r="F82" s="2"/>
      <c r="G82" s="3">
        <v>379504.77100000001</v>
      </c>
      <c r="H82" s="3">
        <v>98.81</v>
      </c>
      <c r="I82" s="3">
        <v>37498125.090000004</v>
      </c>
      <c r="J82" s="3">
        <v>0</v>
      </c>
      <c r="K82" s="3">
        <v>37989679.939999998</v>
      </c>
    </row>
    <row r="83" spans="1:11" x14ac:dyDescent="0.35">
      <c r="A83" s="2" t="s">
        <v>116</v>
      </c>
      <c r="B83" s="2" t="s">
        <v>106</v>
      </c>
      <c r="C83" s="2" t="s">
        <v>105</v>
      </c>
      <c r="D83" s="2" t="s">
        <v>186</v>
      </c>
      <c r="E83" s="2" t="s">
        <v>81</v>
      </c>
      <c r="F83" s="2" t="s">
        <v>82</v>
      </c>
      <c r="G83" s="3">
        <v>319761.95799999998</v>
      </c>
      <c r="H83" s="3">
        <v>31.27</v>
      </c>
      <c r="I83" s="3">
        <v>10000000</v>
      </c>
      <c r="J83" s="3">
        <v>40.557299999999998</v>
      </c>
      <c r="K83" s="3">
        <v>12968681.66</v>
      </c>
    </row>
    <row r="84" spans="1:11" x14ac:dyDescent="0.35">
      <c r="A84" s="2" t="s">
        <v>116</v>
      </c>
      <c r="B84" s="2" t="s">
        <v>107</v>
      </c>
      <c r="C84" s="2" t="s">
        <v>105</v>
      </c>
      <c r="D84" s="2" t="s">
        <v>187</v>
      </c>
      <c r="E84" s="2" t="s">
        <v>83</v>
      </c>
      <c r="F84" s="2" t="s">
        <v>84</v>
      </c>
      <c r="G84" s="3">
        <v>171419.641</v>
      </c>
      <c r="H84" s="3">
        <v>411.27</v>
      </c>
      <c r="I84" s="3">
        <v>70500000</v>
      </c>
      <c r="J84" s="3">
        <v>418.46409999999997</v>
      </c>
      <c r="K84" s="3">
        <v>71732965.790000007</v>
      </c>
    </row>
    <row r="85" spans="1:11" x14ac:dyDescent="0.35">
      <c r="A85" s="2" t="s">
        <v>116</v>
      </c>
      <c r="B85" s="2" t="s">
        <v>108</v>
      </c>
      <c r="C85" s="2" t="s">
        <v>105</v>
      </c>
      <c r="D85" s="2" t="s">
        <v>186</v>
      </c>
      <c r="E85" s="2" t="s">
        <v>87</v>
      </c>
      <c r="F85" s="2" t="s">
        <v>88</v>
      </c>
      <c r="G85" s="3">
        <v>242899.52900000001</v>
      </c>
      <c r="H85" s="3">
        <v>223.66</v>
      </c>
      <c r="I85" s="3">
        <v>54327648.600000001</v>
      </c>
      <c r="J85" s="3">
        <v>270.40600000000001</v>
      </c>
      <c r="K85" s="3">
        <v>65681490.039999999</v>
      </c>
    </row>
    <row r="86" spans="1:11" x14ac:dyDescent="0.35">
      <c r="A86" s="2" t="s">
        <v>116</v>
      </c>
      <c r="B86" s="2" t="s">
        <v>179</v>
      </c>
      <c r="C86" s="2" t="s">
        <v>105</v>
      </c>
      <c r="D86" s="2" t="s">
        <v>187</v>
      </c>
      <c r="E86" s="2" t="s">
        <v>160</v>
      </c>
      <c r="F86" s="2" t="s">
        <v>161</v>
      </c>
      <c r="G86" s="3">
        <v>102383.359</v>
      </c>
      <c r="H86" s="3">
        <v>37.51</v>
      </c>
      <c r="I86" s="3">
        <v>3839906.88</v>
      </c>
      <c r="J86" s="3">
        <v>39.494399999999999</v>
      </c>
      <c r="K86" s="3">
        <v>4043569.33</v>
      </c>
    </row>
    <row r="87" spans="1:11" x14ac:dyDescent="0.35">
      <c r="A87" s="2" t="s">
        <v>116</v>
      </c>
      <c r="B87" s="2" t="s">
        <v>112</v>
      </c>
      <c r="C87" s="2" t="s">
        <v>114</v>
      </c>
      <c r="D87" s="2" t="s">
        <v>186</v>
      </c>
      <c r="E87" s="2" t="s">
        <v>91</v>
      </c>
      <c r="F87" s="2" t="s">
        <v>92</v>
      </c>
      <c r="G87" s="3">
        <v>86700</v>
      </c>
      <c r="H87" s="3">
        <v>99.51</v>
      </c>
      <c r="I87" s="3">
        <v>8627343.5999999996</v>
      </c>
      <c r="J87" s="3">
        <v>115.73</v>
      </c>
      <c r="K87" s="3">
        <v>10033791</v>
      </c>
    </row>
    <row r="88" spans="1:11" x14ac:dyDescent="0.35">
      <c r="A88" s="2" t="s">
        <v>116</v>
      </c>
      <c r="B88" s="2" t="s">
        <v>111</v>
      </c>
      <c r="C88" s="2" t="s">
        <v>115</v>
      </c>
      <c r="D88" s="2" t="s">
        <v>188</v>
      </c>
      <c r="E88" s="2" t="s">
        <v>69</v>
      </c>
      <c r="F88" s="2" t="s">
        <v>70</v>
      </c>
      <c r="G88" s="3">
        <v>4550</v>
      </c>
      <c r="H88" s="3">
        <v>600.86</v>
      </c>
      <c r="I88" s="3">
        <v>2733912.64</v>
      </c>
      <c r="J88" s="3">
        <v>1089.8</v>
      </c>
      <c r="K88" s="3">
        <v>4958590</v>
      </c>
    </row>
    <row r="89" spans="1:11" x14ac:dyDescent="0.35">
      <c r="A89" s="2" t="s">
        <v>116</v>
      </c>
      <c r="B89" s="2" t="s">
        <v>111</v>
      </c>
      <c r="C89" s="2" t="s">
        <v>115</v>
      </c>
      <c r="D89" s="2" t="s">
        <v>188</v>
      </c>
      <c r="E89" s="2" t="s">
        <v>162</v>
      </c>
      <c r="F89" s="2" t="s">
        <v>163</v>
      </c>
      <c r="G89" s="3">
        <v>637</v>
      </c>
      <c r="H89" s="3">
        <v>3666.17</v>
      </c>
      <c r="I89" s="3">
        <v>2335353.13</v>
      </c>
      <c r="J89" s="3">
        <v>8498</v>
      </c>
      <c r="K89" s="3">
        <v>5413226</v>
      </c>
    </row>
    <row r="90" spans="1:11" x14ac:dyDescent="0.35">
      <c r="A90" s="2" t="s">
        <v>116</v>
      </c>
      <c r="B90" s="2" t="s">
        <v>111</v>
      </c>
      <c r="C90" s="2" t="s">
        <v>115</v>
      </c>
      <c r="D90" s="2" t="s">
        <v>188</v>
      </c>
      <c r="E90" s="2" t="s">
        <v>164</v>
      </c>
      <c r="F90" s="2" t="s">
        <v>165</v>
      </c>
      <c r="G90" s="3">
        <v>2620</v>
      </c>
      <c r="H90" s="3">
        <v>956.05</v>
      </c>
      <c r="I90" s="3">
        <v>2504849.0099999998</v>
      </c>
      <c r="J90" s="3">
        <v>1334.4</v>
      </c>
      <c r="K90" s="3">
        <v>3496128</v>
      </c>
    </row>
    <row r="91" spans="1:11" x14ac:dyDescent="0.35">
      <c r="A91" s="2" t="s">
        <v>116</v>
      </c>
      <c r="B91" s="2" t="s">
        <v>111</v>
      </c>
      <c r="C91" s="2" t="s">
        <v>115</v>
      </c>
      <c r="D91" s="2" t="s">
        <v>188</v>
      </c>
      <c r="E91" s="2" t="s">
        <v>166</v>
      </c>
      <c r="F91" s="2" t="s">
        <v>167</v>
      </c>
      <c r="G91" s="3">
        <v>2668</v>
      </c>
      <c r="H91" s="3">
        <v>669.18</v>
      </c>
      <c r="I91" s="3">
        <v>1785372.81</v>
      </c>
      <c r="J91" s="3">
        <v>541.79999999999995</v>
      </c>
      <c r="K91" s="3">
        <v>1445522.4</v>
      </c>
    </row>
    <row r="92" spans="1:11" x14ac:dyDescent="0.35">
      <c r="A92" s="2" t="s">
        <v>116</v>
      </c>
      <c r="B92" s="2" t="s">
        <v>111</v>
      </c>
      <c r="C92" s="2" t="s">
        <v>115</v>
      </c>
      <c r="D92" s="2" t="s">
        <v>188</v>
      </c>
      <c r="E92" s="2" t="s">
        <v>168</v>
      </c>
      <c r="F92" s="2" t="s">
        <v>169</v>
      </c>
      <c r="G92" s="3">
        <v>2910</v>
      </c>
      <c r="H92" s="3">
        <v>346.81</v>
      </c>
      <c r="I92" s="3">
        <v>1009206.29</v>
      </c>
      <c r="J92" s="3">
        <v>392.35</v>
      </c>
      <c r="K92" s="3">
        <v>1141738.5</v>
      </c>
    </row>
    <row r="93" spans="1:11" x14ac:dyDescent="0.35">
      <c r="A93" s="2" t="s">
        <v>116</v>
      </c>
      <c r="B93" s="2" t="s">
        <v>111</v>
      </c>
      <c r="C93" s="2" t="s">
        <v>115</v>
      </c>
      <c r="D93" s="2" t="s">
        <v>188</v>
      </c>
      <c r="E93" s="2" t="s">
        <v>170</v>
      </c>
      <c r="F93" s="2" t="s">
        <v>171</v>
      </c>
      <c r="G93" s="3">
        <v>1047</v>
      </c>
      <c r="H93" s="3">
        <v>1734.67</v>
      </c>
      <c r="I93" s="3">
        <v>1816197.94</v>
      </c>
      <c r="J93" s="3">
        <v>5071.8</v>
      </c>
      <c r="K93" s="3">
        <v>5310174.5999999996</v>
      </c>
    </row>
    <row r="94" spans="1:11" x14ac:dyDescent="0.35">
      <c r="A94" s="2" t="s">
        <v>116</v>
      </c>
      <c r="B94" s="2" t="s">
        <v>182</v>
      </c>
      <c r="C94" s="2" t="s">
        <v>181</v>
      </c>
      <c r="D94" s="2" t="s">
        <v>187</v>
      </c>
      <c r="E94" s="2" t="s">
        <v>157</v>
      </c>
      <c r="F94" s="2" t="s">
        <v>158</v>
      </c>
      <c r="G94" s="3">
        <v>193700</v>
      </c>
      <c r="H94" s="3">
        <v>129.16</v>
      </c>
      <c r="I94" s="3">
        <v>25018622.34</v>
      </c>
      <c r="J94" s="3">
        <v>233.89</v>
      </c>
      <c r="K94" s="3">
        <v>45304493</v>
      </c>
    </row>
    <row r="95" spans="1:11" x14ac:dyDescent="0.35">
      <c r="A95" s="2" t="s">
        <v>10</v>
      </c>
      <c r="B95" s="2" t="s">
        <v>175</v>
      </c>
      <c r="C95" s="2" t="s">
        <v>175</v>
      </c>
      <c r="D95" s="2" t="s">
        <v>188</v>
      </c>
      <c r="E95" s="2" t="s">
        <v>183</v>
      </c>
      <c r="F95" s="2"/>
      <c r="G95" s="3"/>
      <c r="H95" s="3"/>
      <c r="I95" s="3">
        <v>356709</v>
      </c>
      <c r="J95" s="3"/>
      <c r="K95" s="3">
        <v>356709</v>
      </c>
    </row>
  </sheetData>
  <autoFilter ref="A2:K95" xr:uid="{89EC1EF8-4E33-49DE-9D85-7282C778499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D8D7D-9FD3-4B34-BD1A-D08D200D033F}">
  <dimension ref="A1:L520"/>
  <sheetViews>
    <sheetView showGridLines="0" tabSelected="1" workbookViewId="0">
      <pane ySplit="1" topLeftCell="A2" activePane="bottomLeft" state="frozen"/>
      <selection pane="bottomLeft" activeCell="E521" sqref="E521"/>
    </sheetView>
  </sheetViews>
  <sheetFormatPr defaultColWidth="8.90625" defaultRowHeight="14.5" x14ac:dyDescent="0.35"/>
  <cols>
    <col min="1" max="1" width="10.453125" customWidth="1"/>
    <col min="2" max="2" width="14.6328125" bestFit="1" customWidth="1"/>
    <col min="3" max="3" width="16" bestFit="1" customWidth="1"/>
    <col min="4" max="4" width="52.81640625" bestFit="1" customWidth="1"/>
    <col min="5" max="5" width="41.1796875" bestFit="1" customWidth="1"/>
    <col min="6" max="6" width="9.6328125" bestFit="1" customWidth="1"/>
    <col min="7" max="7" width="13.1796875" bestFit="1" customWidth="1"/>
    <col min="8" max="8" width="10.36328125" bestFit="1" customWidth="1"/>
    <col min="10" max="10" width="12.36328125" bestFit="1" customWidth="1"/>
    <col min="11" max="11" width="11.36328125" bestFit="1" customWidth="1"/>
    <col min="12" max="12" width="15" bestFit="1" customWidth="1"/>
  </cols>
  <sheetData>
    <row r="1" spans="1:12" s="5" customFormat="1" ht="29" x14ac:dyDescent="0.35">
      <c r="A1" s="4" t="s">
        <v>0</v>
      </c>
      <c r="B1" s="4" t="s">
        <v>2</v>
      </c>
      <c r="C1" s="4" t="s">
        <v>208</v>
      </c>
      <c r="D1" s="4" t="s">
        <v>3</v>
      </c>
      <c r="E1" s="4" t="s">
        <v>209</v>
      </c>
      <c r="F1" s="4" t="s">
        <v>184</v>
      </c>
      <c r="G1" s="4" t="s">
        <v>4</v>
      </c>
      <c r="H1" s="4" t="s">
        <v>189</v>
      </c>
      <c r="I1" s="4" t="s">
        <v>190</v>
      </c>
      <c r="J1" s="4" t="s">
        <v>191</v>
      </c>
      <c r="K1" s="4" t="s">
        <v>192</v>
      </c>
      <c r="L1" s="4" t="s">
        <v>193</v>
      </c>
    </row>
    <row r="2" spans="1:12" x14ac:dyDescent="0.35">
      <c r="A2" s="6" t="s">
        <v>10</v>
      </c>
      <c r="B2" s="6" t="s">
        <v>211</v>
      </c>
      <c r="C2" s="6" t="s">
        <v>210</v>
      </c>
      <c r="D2" s="7" t="s">
        <v>222</v>
      </c>
      <c r="E2" s="7" t="s">
        <v>27</v>
      </c>
      <c r="F2" s="6" t="s">
        <v>186</v>
      </c>
      <c r="G2" s="7" t="str">
        <f>+VLOOKUP(E2,Summary!$E$3:$F$47,2,0)</f>
        <v>INE397D01024</v>
      </c>
      <c r="H2" s="8">
        <v>46239</v>
      </c>
      <c r="I2" s="7" t="s">
        <v>195</v>
      </c>
      <c r="J2" s="9">
        <v>198</v>
      </c>
      <c r="K2" s="9">
        <v>1969.9532999999999</v>
      </c>
      <c r="L2" s="9">
        <v>390323.79</v>
      </c>
    </row>
    <row r="3" spans="1:12" x14ac:dyDescent="0.35">
      <c r="A3" s="6" t="s">
        <v>10</v>
      </c>
      <c r="B3" s="6" t="s">
        <v>211</v>
      </c>
      <c r="C3" s="7" t="s">
        <v>210</v>
      </c>
      <c r="D3" s="7" t="s">
        <v>222</v>
      </c>
      <c r="E3" s="7" t="s">
        <v>27</v>
      </c>
      <c r="F3" s="6" t="s">
        <v>186</v>
      </c>
      <c r="G3" s="7" t="str">
        <f>+VLOOKUP(E3,Summary!$E$3:$F$47,2,0)</f>
        <v>INE397D01024</v>
      </c>
      <c r="H3" s="8">
        <v>46234</v>
      </c>
      <c r="I3" s="7" t="s">
        <v>195</v>
      </c>
      <c r="J3" s="9">
        <v>208</v>
      </c>
      <c r="K3" s="9">
        <v>1960.9242999999999</v>
      </c>
      <c r="L3" s="9">
        <v>408076.19</v>
      </c>
    </row>
    <row r="4" spans="1:12" x14ac:dyDescent="0.35">
      <c r="A4" s="6" t="s">
        <v>10</v>
      </c>
      <c r="B4" s="6" t="s">
        <v>211</v>
      </c>
      <c r="C4" s="7" t="s">
        <v>210</v>
      </c>
      <c r="D4" s="7" t="s">
        <v>222</v>
      </c>
      <c r="E4" s="7" t="s">
        <v>198</v>
      </c>
      <c r="F4" s="6" t="s">
        <v>186</v>
      </c>
      <c r="G4" s="7" t="s">
        <v>225</v>
      </c>
      <c r="H4" s="8">
        <v>46234</v>
      </c>
      <c r="I4" s="7" t="s">
        <v>194</v>
      </c>
      <c r="J4" s="9">
        <v>278</v>
      </c>
      <c r="K4" s="9">
        <v>476.5</v>
      </c>
      <c r="L4" s="9">
        <v>132400.78</v>
      </c>
    </row>
    <row r="5" spans="1:12" x14ac:dyDescent="0.35">
      <c r="A5" s="6" t="s">
        <v>10</v>
      </c>
      <c r="B5" s="6" t="s">
        <v>211</v>
      </c>
      <c r="C5" s="7" t="s">
        <v>210</v>
      </c>
      <c r="D5" s="7" t="s">
        <v>222</v>
      </c>
      <c r="E5" s="7" t="s">
        <v>198</v>
      </c>
      <c r="F5" s="6" t="s">
        <v>186</v>
      </c>
      <c r="G5" s="7" t="s">
        <v>225</v>
      </c>
      <c r="H5" s="8">
        <v>46232</v>
      </c>
      <c r="I5" s="7" t="s">
        <v>194</v>
      </c>
      <c r="J5" s="9">
        <v>626</v>
      </c>
      <c r="K5" s="9">
        <v>472.74590000000001</v>
      </c>
      <c r="L5" s="9">
        <v>295791.01</v>
      </c>
    </row>
    <row r="6" spans="1:12" x14ac:dyDescent="0.35">
      <c r="A6" s="6" t="s">
        <v>10</v>
      </c>
      <c r="B6" s="6" t="s">
        <v>211</v>
      </c>
      <c r="C6" s="7" t="s">
        <v>210</v>
      </c>
      <c r="D6" s="7" t="s">
        <v>222</v>
      </c>
      <c r="E6" s="7" t="s">
        <v>59</v>
      </c>
      <c r="F6" s="6" t="s">
        <v>186</v>
      </c>
      <c r="G6" s="7" t="str">
        <f>+VLOOKUP(E6,Summary!$E$3:$F$47,2,0)</f>
        <v>INE044A01036</v>
      </c>
      <c r="H6" s="8">
        <v>46232</v>
      </c>
      <c r="I6" s="7" t="s">
        <v>195</v>
      </c>
      <c r="J6" s="9">
        <v>34</v>
      </c>
      <c r="K6" s="9">
        <v>1970.9938</v>
      </c>
      <c r="L6" s="9">
        <v>67047.289999999994</v>
      </c>
    </row>
    <row r="7" spans="1:12" x14ac:dyDescent="0.35">
      <c r="A7" s="6" t="s">
        <v>10</v>
      </c>
      <c r="B7" s="6" t="s">
        <v>211</v>
      </c>
      <c r="C7" s="7" t="s">
        <v>210</v>
      </c>
      <c r="D7" s="7" t="s">
        <v>222</v>
      </c>
      <c r="E7" s="7" t="s">
        <v>59</v>
      </c>
      <c r="F7" s="6" t="s">
        <v>186</v>
      </c>
      <c r="G7" s="7" t="str">
        <f>+VLOOKUP(E7,Summary!$E$3:$F$47,2,0)</f>
        <v>INE044A01036</v>
      </c>
      <c r="H7" s="8">
        <v>46231</v>
      </c>
      <c r="I7" s="7" t="s">
        <v>195</v>
      </c>
      <c r="J7" s="9">
        <v>89</v>
      </c>
      <c r="K7" s="9">
        <v>1984.6670999999999</v>
      </c>
      <c r="L7" s="9">
        <v>176723.68</v>
      </c>
    </row>
    <row r="8" spans="1:12" x14ac:dyDescent="0.35">
      <c r="A8" s="6" t="s">
        <v>10</v>
      </c>
      <c r="B8" s="6" t="s">
        <v>211</v>
      </c>
      <c r="C8" s="7" t="s">
        <v>210</v>
      </c>
      <c r="D8" s="7" t="s">
        <v>222</v>
      </c>
      <c r="E8" s="7" t="s">
        <v>199</v>
      </c>
      <c r="F8" s="6" t="s">
        <v>186</v>
      </c>
      <c r="G8" s="7" t="s">
        <v>229</v>
      </c>
      <c r="H8" s="8">
        <v>46230</v>
      </c>
      <c r="I8" s="7" t="s">
        <v>194</v>
      </c>
      <c r="J8" s="9">
        <v>151</v>
      </c>
      <c r="K8" s="9">
        <v>1596</v>
      </c>
      <c r="L8" s="9">
        <v>240876.26</v>
      </c>
    </row>
    <row r="9" spans="1:12" x14ac:dyDescent="0.35">
      <c r="A9" s="6" t="s">
        <v>10</v>
      </c>
      <c r="B9" s="6" t="s">
        <v>211</v>
      </c>
      <c r="C9" s="7" t="s">
        <v>210</v>
      </c>
      <c r="D9" s="7" t="s">
        <v>222</v>
      </c>
      <c r="E9" s="7" t="s">
        <v>59</v>
      </c>
      <c r="F9" s="6" t="s">
        <v>186</v>
      </c>
      <c r="G9" s="7" t="str">
        <f>+VLOOKUP(E9,Summary!$E$3:$F$47,2,0)</f>
        <v>INE044A01036</v>
      </c>
      <c r="H9" s="8">
        <v>46230</v>
      </c>
      <c r="I9" s="7" t="s">
        <v>195</v>
      </c>
      <c r="J9" s="9">
        <v>193</v>
      </c>
      <c r="K9" s="9">
        <v>1974.5436999999999</v>
      </c>
      <c r="L9" s="9">
        <v>381277.46</v>
      </c>
    </row>
    <row r="10" spans="1:12" x14ac:dyDescent="0.35">
      <c r="A10" s="6" t="s">
        <v>10</v>
      </c>
      <c r="B10" s="6" t="s">
        <v>211</v>
      </c>
      <c r="C10" s="7" t="s">
        <v>210</v>
      </c>
      <c r="D10" s="7" t="s">
        <v>222</v>
      </c>
      <c r="E10" s="7" t="s">
        <v>33</v>
      </c>
      <c r="F10" s="6" t="s">
        <v>186</v>
      </c>
      <c r="G10" s="7" t="str">
        <f>+VLOOKUP(E10,Summary!$E$3:$F$47,2,0)</f>
        <v>INE600L01024</v>
      </c>
      <c r="H10" s="8">
        <v>46227</v>
      </c>
      <c r="I10" s="7" t="s">
        <v>195</v>
      </c>
      <c r="J10" s="9">
        <v>14</v>
      </c>
      <c r="K10" s="9">
        <v>1722.4807000000001</v>
      </c>
      <c r="L10" s="9">
        <v>24126.79</v>
      </c>
    </row>
    <row r="11" spans="1:12" x14ac:dyDescent="0.35">
      <c r="A11" s="6" t="s">
        <v>10</v>
      </c>
      <c r="B11" s="6" t="s">
        <v>211</v>
      </c>
      <c r="C11" s="7" t="s">
        <v>210</v>
      </c>
      <c r="D11" s="7" t="s">
        <v>222</v>
      </c>
      <c r="E11" s="7" t="s">
        <v>199</v>
      </c>
      <c r="F11" s="6" t="s">
        <v>186</v>
      </c>
      <c r="G11" s="7" t="s">
        <v>229</v>
      </c>
      <c r="H11" s="8">
        <v>46227</v>
      </c>
      <c r="I11" s="7" t="s">
        <v>194</v>
      </c>
      <c r="J11" s="9">
        <v>285</v>
      </c>
      <c r="K11" s="9">
        <v>1570.5679</v>
      </c>
      <c r="L11" s="9">
        <v>447388.04</v>
      </c>
    </row>
    <row r="12" spans="1:12" x14ac:dyDescent="0.35">
      <c r="A12" s="6" t="s">
        <v>10</v>
      </c>
      <c r="B12" s="6" t="s">
        <v>211</v>
      </c>
      <c r="C12" s="7" t="s">
        <v>210</v>
      </c>
      <c r="D12" s="7" t="s">
        <v>222</v>
      </c>
      <c r="E12" s="7" t="s">
        <v>200</v>
      </c>
      <c r="F12" s="6" t="s">
        <v>186</v>
      </c>
      <c r="G12" s="7" t="s">
        <v>226</v>
      </c>
      <c r="H12" s="8">
        <v>46226</v>
      </c>
      <c r="I12" s="7" t="s">
        <v>194</v>
      </c>
      <c r="J12" s="9">
        <v>861</v>
      </c>
      <c r="K12" s="9">
        <v>167.76730000000001</v>
      </c>
      <c r="L12" s="9">
        <v>144346.53</v>
      </c>
    </row>
    <row r="13" spans="1:12" x14ac:dyDescent="0.35">
      <c r="A13" s="6" t="s">
        <v>10</v>
      </c>
      <c r="B13" s="6" t="s">
        <v>211</v>
      </c>
      <c r="C13" s="7" t="s">
        <v>210</v>
      </c>
      <c r="D13" s="7" t="s">
        <v>222</v>
      </c>
      <c r="E13" s="7" t="s">
        <v>200</v>
      </c>
      <c r="F13" s="6" t="s">
        <v>186</v>
      </c>
      <c r="G13" s="7" t="s">
        <v>226</v>
      </c>
      <c r="H13" s="8">
        <v>46225</v>
      </c>
      <c r="I13" s="7" t="s">
        <v>194</v>
      </c>
      <c r="J13" s="9">
        <v>1081</v>
      </c>
      <c r="K13" s="9">
        <v>182.04849999999999</v>
      </c>
      <c r="L13" s="9">
        <v>196696.05</v>
      </c>
    </row>
    <row r="14" spans="1:12" x14ac:dyDescent="0.35">
      <c r="A14" s="6" t="s">
        <v>10</v>
      </c>
      <c r="B14" s="6" t="s">
        <v>211</v>
      </c>
      <c r="C14" s="7" t="s">
        <v>210</v>
      </c>
      <c r="D14" s="7" t="s">
        <v>222</v>
      </c>
      <c r="E14" s="7" t="s">
        <v>43</v>
      </c>
      <c r="F14" s="6" t="s">
        <v>186</v>
      </c>
      <c r="G14" s="7" t="str">
        <f>+VLOOKUP(E14,Summary!$E$3:$F$47,2,0)</f>
        <v>INE303R01014</v>
      </c>
      <c r="H14" s="8">
        <v>46216</v>
      </c>
      <c r="I14" s="7" t="s">
        <v>195</v>
      </c>
      <c r="J14" s="9">
        <v>512</v>
      </c>
      <c r="K14" s="9">
        <v>500.01069999999999</v>
      </c>
      <c r="L14" s="9">
        <v>256261.48</v>
      </c>
    </row>
    <row r="15" spans="1:12" x14ac:dyDescent="0.35">
      <c r="A15" s="6" t="s">
        <v>10</v>
      </c>
      <c r="B15" s="6" t="s">
        <v>211</v>
      </c>
      <c r="C15" s="7" t="s">
        <v>210</v>
      </c>
      <c r="D15" s="7" t="s">
        <v>222</v>
      </c>
      <c r="E15" s="7" t="s">
        <v>65</v>
      </c>
      <c r="F15" s="6" t="s">
        <v>186</v>
      </c>
      <c r="G15" s="7" t="str">
        <f>+VLOOKUP(E15,Summary!$E$3:$F$47,2,0)</f>
        <v>INE142M01025</v>
      </c>
      <c r="H15" s="8">
        <v>46212</v>
      </c>
      <c r="I15" s="7" t="s">
        <v>195</v>
      </c>
      <c r="J15" s="9">
        <v>150</v>
      </c>
      <c r="K15" s="9">
        <v>715.09699999999998</v>
      </c>
      <c r="L15" s="9">
        <v>107318.18</v>
      </c>
    </row>
    <row r="16" spans="1:12" x14ac:dyDescent="0.35">
      <c r="A16" s="6" t="s">
        <v>10</v>
      </c>
      <c r="B16" s="6" t="s">
        <v>211</v>
      </c>
      <c r="C16" s="7" t="s">
        <v>210</v>
      </c>
      <c r="D16" s="7" t="s">
        <v>222</v>
      </c>
      <c r="E16" s="7" t="s">
        <v>31</v>
      </c>
      <c r="F16" s="6" t="s">
        <v>186</v>
      </c>
      <c r="G16" s="7" t="str">
        <f>+VLOOKUP(E16,Summary!$E$3:$F$47,2,0)</f>
        <v>INE136B01020</v>
      </c>
      <c r="H16" s="8">
        <v>46210</v>
      </c>
      <c r="I16" s="7" t="s">
        <v>194</v>
      </c>
      <c r="J16" s="9">
        <v>37</v>
      </c>
      <c r="K16" s="9">
        <v>1125</v>
      </c>
      <c r="L16" s="9">
        <v>41562.19</v>
      </c>
    </row>
    <row r="17" spans="1:12" x14ac:dyDescent="0.35">
      <c r="A17" s="6" t="s">
        <v>10</v>
      </c>
      <c r="B17" s="6" t="s">
        <v>211</v>
      </c>
      <c r="C17" s="7" t="s">
        <v>210</v>
      </c>
      <c r="D17" s="7" t="s">
        <v>222</v>
      </c>
      <c r="E17" s="7" t="s">
        <v>53</v>
      </c>
      <c r="F17" s="6" t="s">
        <v>186</v>
      </c>
      <c r="G17" s="7" t="str">
        <f>+VLOOKUP(E17,Summary!$E$3:$F$47,2,0)</f>
        <v>INE262H01021</v>
      </c>
      <c r="H17" s="8">
        <v>46206</v>
      </c>
      <c r="I17" s="7" t="s">
        <v>195</v>
      </c>
      <c r="J17" s="9">
        <v>68</v>
      </c>
      <c r="K17" s="9">
        <v>4684.9996000000001</v>
      </c>
      <c r="L17" s="9">
        <v>318898.55</v>
      </c>
    </row>
    <row r="18" spans="1:12" x14ac:dyDescent="0.35">
      <c r="A18" s="6" t="s">
        <v>10</v>
      </c>
      <c r="B18" s="6" t="s">
        <v>211</v>
      </c>
      <c r="C18" s="7" t="s">
        <v>210</v>
      </c>
      <c r="D18" s="7" t="s">
        <v>222</v>
      </c>
      <c r="E18" s="7" t="s">
        <v>45</v>
      </c>
      <c r="F18" s="6" t="s">
        <v>186</v>
      </c>
      <c r="G18" s="7" t="str">
        <f>+VLOOKUP(E18,Summary!$E$3:$F$47,2,0)</f>
        <v>INE018A01030</v>
      </c>
      <c r="H18" s="8">
        <v>46189</v>
      </c>
      <c r="I18" s="7" t="s">
        <v>195</v>
      </c>
      <c r="J18" s="9">
        <v>41</v>
      </c>
      <c r="K18" s="9">
        <v>4221.54</v>
      </c>
      <c r="L18" s="9">
        <v>173169.76</v>
      </c>
    </row>
    <row r="19" spans="1:12" x14ac:dyDescent="0.35">
      <c r="A19" s="6" t="s">
        <v>10</v>
      </c>
      <c r="B19" s="6" t="s">
        <v>211</v>
      </c>
      <c r="C19" s="7" t="s">
        <v>210</v>
      </c>
      <c r="D19" s="7" t="s">
        <v>222</v>
      </c>
      <c r="E19" s="7" t="s">
        <v>65</v>
      </c>
      <c r="F19" s="6" t="s">
        <v>186</v>
      </c>
      <c r="G19" s="7" t="str">
        <f>+VLOOKUP(E19,Summary!$E$3:$F$47,2,0)</f>
        <v>INE142M01025</v>
      </c>
      <c r="H19" s="8">
        <v>46188</v>
      </c>
      <c r="I19" s="7" t="s">
        <v>195</v>
      </c>
      <c r="J19" s="9">
        <v>513</v>
      </c>
      <c r="K19" s="9">
        <v>770.29309999999998</v>
      </c>
      <c r="L19" s="9">
        <v>395357.92</v>
      </c>
    </row>
    <row r="20" spans="1:12" x14ac:dyDescent="0.35">
      <c r="A20" s="6" t="s">
        <v>10</v>
      </c>
      <c r="B20" s="6" t="s">
        <v>211</v>
      </c>
      <c r="C20" s="7" t="s">
        <v>210</v>
      </c>
      <c r="D20" s="7" t="s">
        <v>222</v>
      </c>
      <c r="E20" s="7" t="s">
        <v>15</v>
      </c>
      <c r="F20" s="6" t="s">
        <v>186</v>
      </c>
      <c r="G20" s="7" t="str">
        <f>+VLOOKUP(E20,Summary!$E$3:$F$47,2,0)</f>
        <v>INE476A01022</v>
      </c>
      <c r="H20" s="8">
        <v>46185</v>
      </c>
      <c r="I20" s="7" t="s">
        <v>195</v>
      </c>
      <c r="J20" s="9">
        <v>71</v>
      </c>
      <c r="K20" s="9">
        <v>131.61369999999999</v>
      </c>
      <c r="L20" s="9">
        <v>9349.24</v>
      </c>
    </row>
    <row r="21" spans="1:12" x14ac:dyDescent="0.35">
      <c r="A21" s="6" t="s">
        <v>10</v>
      </c>
      <c r="B21" s="6" t="s">
        <v>211</v>
      </c>
      <c r="C21" s="7" t="s">
        <v>210</v>
      </c>
      <c r="D21" s="7" t="s">
        <v>222</v>
      </c>
      <c r="E21" s="7" t="s">
        <v>198</v>
      </c>
      <c r="F21" s="6" t="s">
        <v>186</v>
      </c>
      <c r="G21" s="7" t="s">
        <v>225</v>
      </c>
      <c r="H21" s="8">
        <v>46185</v>
      </c>
      <c r="I21" s="7" t="s">
        <v>195</v>
      </c>
      <c r="J21" s="9">
        <v>15</v>
      </c>
      <c r="K21" s="9">
        <v>440.91199999999998</v>
      </c>
      <c r="L21" s="9">
        <v>6616.99</v>
      </c>
    </row>
    <row r="22" spans="1:12" x14ac:dyDescent="0.35">
      <c r="A22" s="6" t="s">
        <v>10</v>
      </c>
      <c r="B22" s="6" t="s">
        <v>211</v>
      </c>
      <c r="C22" s="7" t="s">
        <v>210</v>
      </c>
      <c r="D22" s="7" t="s">
        <v>222</v>
      </c>
      <c r="E22" s="7" t="s">
        <v>45</v>
      </c>
      <c r="F22" s="6" t="s">
        <v>186</v>
      </c>
      <c r="G22" s="7" t="str">
        <f>+VLOOKUP(E22,Summary!$E$3:$F$47,2,0)</f>
        <v>INE018A01030</v>
      </c>
      <c r="H22" s="8">
        <v>46185</v>
      </c>
      <c r="I22" s="7" t="s">
        <v>195</v>
      </c>
      <c r="J22" s="9">
        <v>4</v>
      </c>
      <c r="K22" s="9">
        <v>4043.0324999999998</v>
      </c>
      <c r="L22" s="9">
        <v>16180.22</v>
      </c>
    </row>
    <row r="23" spans="1:12" x14ac:dyDescent="0.35">
      <c r="A23" s="6" t="s">
        <v>10</v>
      </c>
      <c r="B23" s="6" t="s">
        <v>211</v>
      </c>
      <c r="C23" s="7" t="s">
        <v>210</v>
      </c>
      <c r="D23" s="7" t="s">
        <v>222</v>
      </c>
      <c r="E23" s="7" t="s">
        <v>49</v>
      </c>
      <c r="F23" s="6" t="s">
        <v>186</v>
      </c>
      <c r="G23" s="7" t="str">
        <f>+VLOOKUP(E23,Summary!$E$3:$F$47,2,0)</f>
        <v>INE214T01019</v>
      </c>
      <c r="H23" s="8">
        <v>46185</v>
      </c>
      <c r="I23" s="7" t="s">
        <v>195</v>
      </c>
      <c r="J23" s="9">
        <v>5</v>
      </c>
      <c r="K23" s="9">
        <v>3841.962</v>
      </c>
      <c r="L23" s="9">
        <v>19219.41</v>
      </c>
    </row>
    <row r="24" spans="1:12" x14ac:dyDescent="0.35">
      <c r="A24" s="6" t="s">
        <v>10</v>
      </c>
      <c r="B24" s="6" t="s">
        <v>211</v>
      </c>
      <c r="C24" s="7" t="s">
        <v>210</v>
      </c>
      <c r="D24" s="7" t="s">
        <v>222</v>
      </c>
      <c r="E24" s="7" t="s">
        <v>19</v>
      </c>
      <c r="F24" s="6" t="s">
        <v>186</v>
      </c>
      <c r="G24" s="7" t="str">
        <f>+VLOOKUP(E24,Summary!$E$3:$F$47,2,0)</f>
        <v>INE180A01020</v>
      </c>
      <c r="H24" s="8">
        <v>46185</v>
      </c>
      <c r="I24" s="7" t="s">
        <v>195</v>
      </c>
      <c r="J24" s="9">
        <v>16</v>
      </c>
      <c r="K24" s="9">
        <v>1577.1131</v>
      </c>
      <c r="L24" s="9">
        <v>25246.43</v>
      </c>
    </row>
    <row r="25" spans="1:12" x14ac:dyDescent="0.35">
      <c r="A25" s="6" t="s">
        <v>10</v>
      </c>
      <c r="B25" s="6" t="s">
        <v>211</v>
      </c>
      <c r="C25" s="7" t="s">
        <v>210</v>
      </c>
      <c r="D25" s="7" t="s">
        <v>222</v>
      </c>
      <c r="E25" s="7" t="s">
        <v>21</v>
      </c>
      <c r="F25" s="6" t="s">
        <v>186</v>
      </c>
      <c r="G25" s="7" t="str">
        <f>+VLOOKUP(E25,Summary!$E$3:$F$47,2,0)</f>
        <v>INE982J01020</v>
      </c>
      <c r="H25" s="8">
        <v>46185</v>
      </c>
      <c r="I25" s="7" t="s">
        <v>195</v>
      </c>
      <c r="J25" s="9">
        <v>44</v>
      </c>
      <c r="K25" s="9">
        <v>1073.1866</v>
      </c>
      <c r="L25" s="9">
        <v>47243.82</v>
      </c>
    </row>
    <row r="26" spans="1:12" x14ac:dyDescent="0.35">
      <c r="A26" s="6" t="s">
        <v>10</v>
      </c>
      <c r="B26" s="6" t="s">
        <v>211</v>
      </c>
      <c r="C26" s="7" t="s">
        <v>210</v>
      </c>
      <c r="D26" s="7" t="s">
        <v>222</v>
      </c>
      <c r="E26" s="7" t="s">
        <v>61</v>
      </c>
      <c r="F26" s="6" t="s">
        <v>186</v>
      </c>
      <c r="G26" s="7" t="str">
        <f>+VLOOKUP(E26,Summary!$E$3:$F$47,2,0)</f>
        <v>INE1TAE01010</v>
      </c>
      <c r="H26" s="8">
        <v>46185</v>
      </c>
      <c r="I26" s="7" t="s">
        <v>195</v>
      </c>
      <c r="J26" s="9">
        <v>77</v>
      </c>
      <c r="K26" s="9">
        <v>389.19970000000001</v>
      </c>
      <c r="L26" s="9">
        <v>29983.360000000001</v>
      </c>
    </row>
    <row r="27" spans="1:12" x14ac:dyDescent="0.35">
      <c r="A27" s="6" t="s">
        <v>10</v>
      </c>
      <c r="B27" s="6" t="s">
        <v>211</v>
      </c>
      <c r="C27" s="7" t="s">
        <v>210</v>
      </c>
      <c r="D27" s="7" t="s">
        <v>222</v>
      </c>
      <c r="E27" s="7" t="s">
        <v>63</v>
      </c>
      <c r="F27" s="6" t="s">
        <v>186</v>
      </c>
      <c r="G27" s="7" t="str">
        <f>+VLOOKUP(E27,Summary!$E$3:$F$47,2,0)</f>
        <v>INE155A01022</v>
      </c>
      <c r="H27" s="8">
        <v>46185</v>
      </c>
      <c r="I27" s="7" t="s">
        <v>195</v>
      </c>
      <c r="J27" s="9">
        <v>37</v>
      </c>
      <c r="K27" s="9">
        <v>389.48239999999998</v>
      </c>
      <c r="L27" s="9">
        <v>14418.05</v>
      </c>
    </row>
    <row r="28" spans="1:12" x14ac:dyDescent="0.35">
      <c r="A28" s="6" t="s">
        <v>10</v>
      </c>
      <c r="B28" s="6" t="s">
        <v>211</v>
      </c>
      <c r="C28" s="7" t="s">
        <v>210</v>
      </c>
      <c r="D28" s="7" t="s">
        <v>222</v>
      </c>
      <c r="E28" s="7" t="s">
        <v>65</v>
      </c>
      <c r="F28" s="6" t="s">
        <v>186</v>
      </c>
      <c r="G28" s="7" t="str">
        <f>+VLOOKUP(E28,Summary!$E$3:$F$47,2,0)</f>
        <v>INE142M01025</v>
      </c>
      <c r="H28" s="8">
        <v>46185</v>
      </c>
      <c r="I28" s="7" t="s">
        <v>195</v>
      </c>
      <c r="J28" s="9">
        <v>23</v>
      </c>
      <c r="K28" s="9">
        <v>760.94</v>
      </c>
      <c r="L28" s="9">
        <v>17510.37</v>
      </c>
    </row>
    <row r="29" spans="1:12" x14ac:dyDescent="0.35">
      <c r="A29" s="6" t="s">
        <v>10</v>
      </c>
      <c r="B29" s="6" t="s">
        <v>211</v>
      </c>
      <c r="C29" s="7" t="s">
        <v>210</v>
      </c>
      <c r="D29" s="7" t="s">
        <v>222</v>
      </c>
      <c r="E29" s="7" t="s">
        <v>65</v>
      </c>
      <c r="F29" s="6" t="s">
        <v>186</v>
      </c>
      <c r="G29" s="7" t="str">
        <f>+VLOOKUP(E29,Summary!$E$3:$F$47,2,0)</f>
        <v>INE142M01025</v>
      </c>
      <c r="H29" s="8">
        <v>46184</v>
      </c>
      <c r="I29" s="7" t="s">
        <v>195</v>
      </c>
      <c r="J29" s="9">
        <v>247</v>
      </c>
      <c r="K29" s="9">
        <v>745.96870000000001</v>
      </c>
      <c r="L29" s="9">
        <v>184383.25</v>
      </c>
    </row>
    <row r="30" spans="1:12" x14ac:dyDescent="0.35">
      <c r="A30" s="6" t="s">
        <v>10</v>
      </c>
      <c r="B30" s="6" t="s">
        <v>211</v>
      </c>
      <c r="C30" s="7" t="s">
        <v>210</v>
      </c>
      <c r="D30" s="7" t="s">
        <v>222</v>
      </c>
      <c r="E30" s="7" t="s">
        <v>61</v>
      </c>
      <c r="F30" s="6" t="s">
        <v>186</v>
      </c>
      <c r="G30" s="7" t="str">
        <f>+VLOOKUP(E30,Summary!$E$3:$F$47,2,0)</f>
        <v>INE1TAE01010</v>
      </c>
      <c r="H30" s="8">
        <v>46183</v>
      </c>
      <c r="I30" s="7" t="s">
        <v>195</v>
      </c>
      <c r="J30" s="9">
        <v>32</v>
      </c>
      <c r="K30" s="9">
        <v>365.7287</v>
      </c>
      <c r="L30" s="9">
        <v>11709.17</v>
      </c>
    </row>
    <row r="31" spans="1:12" x14ac:dyDescent="0.35">
      <c r="A31" s="6" t="s">
        <v>10</v>
      </c>
      <c r="B31" s="6" t="s">
        <v>211</v>
      </c>
      <c r="C31" s="7" t="s">
        <v>210</v>
      </c>
      <c r="D31" s="7" t="s">
        <v>222</v>
      </c>
      <c r="E31" s="7" t="s">
        <v>65</v>
      </c>
      <c r="F31" s="6" t="s">
        <v>186</v>
      </c>
      <c r="G31" s="7" t="str">
        <f>+VLOOKUP(E31,Summary!$E$3:$F$47,2,0)</f>
        <v>INE142M01025</v>
      </c>
      <c r="H31" s="8">
        <v>46183</v>
      </c>
      <c r="I31" s="7" t="s">
        <v>195</v>
      </c>
      <c r="J31" s="9">
        <v>531</v>
      </c>
      <c r="K31" s="9">
        <v>757.69949999999994</v>
      </c>
      <c r="L31" s="9">
        <v>402579.83</v>
      </c>
    </row>
    <row r="32" spans="1:12" x14ac:dyDescent="0.35">
      <c r="A32" s="6" t="s">
        <v>10</v>
      </c>
      <c r="B32" s="6" t="s">
        <v>211</v>
      </c>
      <c r="C32" s="7" t="s">
        <v>210</v>
      </c>
      <c r="D32" s="7" t="s">
        <v>222</v>
      </c>
      <c r="E32" s="7" t="s">
        <v>201</v>
      </c>
      <c r="F32" s="6" t="s">
        <v>186</v>
      </c>
      <c r="G32" s="7" t="s">
        <v>227</v>
      </c>
      <c r="H32" s="8">
        <v>46177</v>
      </c>
      <c r="I32" s="7" t="s">
        <v>194</v>
      </c>
      <c r="J32" s="9">
        <v>85</v>
      </c>
      <c r="K32" s="9">
        <v>2167.2116999999998</v>
      </c>
      <c r="L32" s="9">
        <v>184102.46</v>
      </c>
    </row>
    <row r="33" spans="1:12" x14ac:dyDescent="0.35">
      <c r="A33" s="6" t="s">
        <v>10</v>
      </c>
      <c r="B33" s="6" t="s">
        <v>211</v>
      </c>
      <c r="C33" s="7" t="s">
        <v>210</v>
      </c>
      <c r="D33" s="7" t="s">
        <v>222</v>
      </c>
      <c r="E33" s="7" t="s">
        <v>63</v>
      </c>
      <c r="F33" s="6" t="s">
        <v>186</v>
      </c>
      <c r="G33" s="7" t="str">
        <f>+VLOOKUP(E33,Summary!$E$3:$F$47,2,0)</f>
        <v>INE155A01022</v>
      </c>
      <c r="H33" s="8">
        <v>46177</v>
      </c>
      <c r="I33" s="7" t="s">
        <v>195</v>
      </c>
      <c r="J33" s="9">
        <v>742</v>
      </c>
      <c r="K33" s="9">
        <v>398.45859999999999</v>
      </c>
      <c r="L33" s="9">
        <v>295804.09999999998</v>
      </c>
    </row>
    <row r="34" spans="1:12" x14ac:dyDescent="0.35">
      <c r="A34" s="6" t="s">
        <v>10</v>
      </c>
      <c r="B34" s="6" t="s">
        <v>211</v>
      </c>
      <c r="C34" s="7" t="s">
        <v>210</v>
      </c>
      <c r="D34" s="7" t="s">
        <v>222</v>
      </c>
      <c r="E34" s="7" t="s">
        <v>197</v>
      </c>
      <c r="F34" s="6" t="s">
        <v>186</v>
      </c>
      <c r="G34" s="7" t="s">
        <v>228</v>
      </c>
      <c r="H34" s="8">
        <v>46176</v>
      </c>
      <c r="I34" s="7" t="s">
        <v>194</v>
      </c>
      <c r="J34" s="9">
        <v>44</v>
      </c>
      <c r="K34" s="9">
        <v>13100.975</v>
      </c>
      <c r="L34" s="9">
        <v>576097.03</v>
      </c>
    </row>
    <row r="35" spans="1:12" x14ac:dyDescent="0.35">
      <c r="A35" s="6" t="s">
        <v>10</v>
      </c>
      <c r="B35" s="6" t="s">
        <v>211</v>
      </c>
      <c r="C35" s="7" t="s">
        <v>210</v>
      </c>
      <c r="D35" s="7" t="s">
        <v>222</v>
      </c>
      <c r="E35" s="7" t="s">
        <v>49</v>
      </c>
      <c r="F35" s="6" t="s">
        <v>186</v>
      </c>
      <c r="G35" s="7" t="str">
        <f>+VLOOKUP(E35,Summary!$E$3:$F$47,2,0)</f>
        <v>INE214T01019</v>
      </c>
      <c r="H35" s="8">
        <v>46174</v>
      </c>
      <c r="I35" s="7" t="s">
        <v>195</v>
      </c>
      <c r="J35" s="9">
        <v>46</v>
      </c>
      <c r="K35" s="9">
        <v>4245.5451999999996</v>
      </c>
      <c r="L35" s="9">
        <v>195392.73</v>
      </c>
    </row>
    <row r="36" spans="1:12" x14ac:dyDescent="0.35">
      <c r="A36" s="6" t="s">
        <v>10</v>
      </c>
      <c r="B36" s="6" t="s">
        <v>211</v>
      </c>
      <c r="C36" s="7" t="s">
        <v>210</v>
      </c>
      <c r="D36" s="7" t="s">
        <v>222</v>
      </c>
      <c r="E36" s="7" t="s">
        <v>55</v>
      </c>
      <c r="F36" s="6" t="s">
        <v>186</v>
      </c>
      <c r="G36" s="7" t="str">
        <f>+VLOOKUP(E36,Summary!$E$3:$F$47,2,0)</f>
        <v>INE205C01021</v>
      </c>
      <c r="H36" s="8">
        <v>46174</v>
      </c>
      <c r="I36" s="7" t="s">
        <v>195</v>
      </c>
      <c r="J36" s="9">
        <v>15</v>
      </c>
      <c r="K36" s="9">
        <v>1342.0962</v>
      </c>
      <c r="L36" s="9">
        <v>20141.509999999998</v>
      </c>
    </row>
    <row r="37" spans="1:12" x14ac:dyDescent="0.35">
      <c r="A37" s="6" t="s">
        <v>10</v>
      </c>
      <c r="B37" s="6" t="s">
        <v>211</v>
      </c>
      <c r="C37" s="7" t="s">
        <v>210</v>
      </c>
      <c r="D37" s="7" t="s">
        <v>222</v>
      </c>
      <c r="E37" s="7" t="s">
        <v>201</v>
      </c>
      <c r="F37" s="6" t="s">
        <v>186</v>
      </c>
      <c r="G37" s="7" t="s">
        <v>227</v>
      </c>
      <c r="H37" s="8">
        <v>46169</v>
      </c>
      <c r="I37" s="7" t="s">
        <v>194</v>
      </c>
      <c r="J37" s="9">
        <v>46</v>
      </c>
      <c r="K37" s="9">
        <v>2307.0192999999999</v>
      </c>
      <c r="L37" s="9">
        <v>106069.83</v>
      </c>
    </row>
    <row r="38" spans="1:12" x14ac:dyDescent="0.35">
      <c r="A38" s="6" t="s">
        <v>10</v>
      </c>
      <c r="B38" s="6" t="s">
        <v>211</v>
      </c>
      <c r="C38" s="7" t="s">
        <v>210</v>
      </c>
      <c r="D38" s="7" t="s">
        <v>222</v>
      </c>
      <c r="E38" s="7" t="s">
        <v>25</v>
      </c>
      <c r="F38" s="6" t="s">
        <v>186</v>
      </c>
      <c r="G38" s="7" t="str">
        <f>+VLOOKUP(E38,Summary!$E$3:$F$47,2,0)</f>
        <v>INE406A01037</v>
      </c>
      <c r="H38" s="8">
        <v>46168</v>
      </c>
      <c r="I38" s="7" t="s">
        <v>195</v>
      </c>
      <c r="J38" s="9">
        <v>2</v>
      </c>
      <c r="K38" s="9">
        <v>1455.355</v>
      </c>
      <c r="L38" s="9">
        <v>2912.17</v>
      </c>
    </row>
    <row r="39" spans="1:12" x14ac:dyDescent="0.35">
      <c r="A39" s="6" t="s">
        <v>10</v>
      </c>
      <c r="B39" s="6" t="s">
        <v>211</v>
      </c>
      <c r="C39" s="7" t="s">
        <v>210</v>
      </c>
      <c r="D39" s="7" t="s">
        <v>222</v>
      </c>
      <c r="E39" s="7" t="s">
        <v>198</v>
      </c>
      <c r="F39" s="6" t="s">
        <v>186</v>
      </c>
      <c r="G39" s="7" t="s">
        <v>225</v>
      </c>
      <c r="H39" s="8">
        <v>46168</v>
      </c>
      <c r="I39" s="7" t="s">
        <v>195</v>
      </c>
      <c r="J39" s="9">
        <v>489</v>
      </c>
      <c r="K39" s="9">
        <v>458.84890000000001</v>
      </c>
      <c r="L39" s="9">
        <v>224489.29</v>
      </c>
    </row>
    <row r="40" spans="1:12" x14ac:dyDescent="0.35">
      <c r="A40" s="6" t="s">
        <v>10</v>
      </c>
      <c r="B40" s="6" t="s">
        <v>211</v>
      </c>
      <c r="C40" s="7" t="s">
        <v>210</v>
      </c>
      <c r="D40" s="7" t="s">
        <v>222</v>
      </c>
      <c r="E40" s="7" t="s">
        <v>33</v>
      </c>
      <c r="F40" s="6" t="s">
        <v>186</v>
      </c>
      <c r="G40" s="7" t="str">
        <f>+VLOOKUP(E40,Summary!$E$3:$F$47,2,0)</f>
        <v>INE600L01024</v>
      </c>
      <c r="H40" s="8">
        <v>46168</v>
      </c>
      <c r="I40" s="7" t="s">
        <v>195</v>
      </c>
      <c r="J40" s="9">
        <v>3</v>
      </c>
      <c r="K40" s="9">
        <v>1618.33</v>
      </c>
      <c r="L40" s="9">
        <v>4858.07</v>
      </c>
    </row>
    <row r="41" spans="1:12" x14ac:dyDescent="0.35">
      <c r="A41" s="6" t="s">
        <v>10</v>
      </c>
      <c r="B41" s="6" t="s">
        <v>211</v>
      </c>
      <c r="C41" s="7" t="s">
        <v>210</v>
      </c>
      <c r="D41" s="7" t="s">
        <v>222</v>
      </c>
      <c r="E41" s="7" t="s">
        <v>41</v>
      </c>
      <c r="F41" s="6" t="s">
        <v>186</v>
      </c>
      <c r="G41" s="7" t="str">
        <f>+VLOOKUP(E41,Summary!$E$3:$F$47,2,0)</f>
        <v>INE646L01027</v>
      </c>
      <c r="H41" s="8">
        <v>46168</v>
      </c>
      <c r="I41" s="7" t="s">
        <v>195</v>
      </c>
      <c r="J41" s="9">
        <v>70</v>
      </c>
      <c r="K41" s="9">
        <v>4480.9556000000002</v>
      </c>
      <c r="L41" s="9">
        <v>313823.71999999997</v>
      </c>
    </row>
    <row r="42" spans="1:12" x14ac:dyDescent="0.35">
      <c r="A42" s="6" t="s">
        <v>10</v>
      </c>
      <c r="B42" s="6" t="s">
        <v>211</v>
      </c>
      <c r="C42" s="7" t="s">
        <v>210</v>
      </c>
      <c r="D42" s="7" t="s">
        <v>222</v>
      </c>
      <c r="E42" s="7" t="s">
        <v>49</v>
      </c>
      <c r="F42" s="6" t="s">
        <v>186</v>
      </c>
      <c r="G42" s="7" t="str">
        <f>+VLOOKUP(E42,Summary!$E$3:$F$47,2,0)</f>
        <v>INE214T01019</v>
      </c>
      <c r="H42" s="8">
        <v>46168</v>
      </c>
      <c r="I42" s="7" t="s">
        <v>195</v>
      </c>
      <c r="J42" s="9">
        <v>17</v>
      </c>
      <c r="K42" s="9">
        <v>3985.16</v>
      </c>
      <c r="L42" s="9">
        <v>67781.63</v>
      </c>
    </row>
    <row r="43" spans="1:12" x14ac:dyDescent="0.35">
      <c r="A43" s="6" t="s">
        <v>10</v>
      </c>
      <c r="B43" s="6" t="s">
        <v>211</v>
      </c>
      <c r="C43" s="7" t="s">
        <v>210</v>
      </c>
      <c r="D43" s="7" t="s">
        <v>222</v>
      </c>
      <c r="E43" s="7" t="s">
        <v>21</v>
      </c>
      <c r="F43" s="6" t="s">
        <v>186</v>
      </c>
      <c r="G43" s="7" t="str">
        <f>+VLOOKUP(E43,Summary!$E$3:$F$47,2,0)</f>
        <v>INE982J01020</v>
      </c>
      <c r="H43" s="8">
        <v>46168</v>
      </c>
      <c r="I43" s="7" t="s">
        <v>195</v>
      </c>
      <c r="J43" s="9">
        <v>2</v>
      </c>
      <c r="K43" s="9">
        <v>1123.3050000000001</v>
      </c>
      <c r="L43" s="9">
        <v>2247.73</v>
      </c>
    </row>
    <row r="44" spans="1:12" x14ac:dyDescent="0.35">
      <c r="A44" s="6" t="s">
        <v>10</v>
      </c>
      <c r="B44" s="6" t="s">
        <v>211</v>
      </c>
      <c r="C44" s="7" t="s">
        <v>210</v>
      </c>
      <c r="D44" s="7" t="s">
        <v>222</v>
      </c>
      <c r="E44" s="7" t="s">
        <v>199</v>
      </c>
      <c r="F44" s="6" t="s">
        <v>186</v>
      </c>
      <c r="G44" s="7" t="s">
        <v>229</v>
      </c>
      <c r="H44" s="8">
        <v>46168</v>
      </c>
      <c r="I44" s="7" t="s">
        <v>195</v>
      </c>
      <c r="J44" s="9">
        <v>10</v>
      </c>
      <c r="K44" s="9">
        <v>1470.4690000000001</v>
      </c>
      <c r="L44" s="9">
        <v>14712.04</v>
      </c>
    </row>
    <row r="45" spans="1:12" x14ac:dyDescent="0.35">
      <c r="A45" s="6" t="s">
        <v>10</v>
      </c>
      <c r="B45" s="6" t="s">
        <v>211</v>
      </c>
      <c r="C45" s="7" t="s">
        <v>210</v>
      </c>
      <c r="D45" s="7" t="s">
        <v>222</v>
      </c>
      <c r="E45" s="7" t="s">
        <v>57</v>
      </c>
      <c r="F45" s="6" t="s">
        <v>186</v>
      </c>
      <c r="G45" s="7" t="str">
        <f>+VLOOKUP(E45,Summary!$E$3:$F$47,2,0)</f>
        <v>INE575P01011</v>
      </c>
      <c r="H45" s="8">
        <v>46168</v>
      </c>
      <c r="I45" s="7" t="s">
        <v>195</v>
      </c>
      <c r="J45" s="9">
        <v>367</v>
      </c>
      <c r="K45" s="9">
        <v>530.60990000000004</v>
      </c>
      <c r="L45" s="9">
        <v>194831.2</v>
      </c>
    </row>
    <row r="46" spans="1:12" x14ac:dyDescent="0.35">
      <c r="A46" s="6" t="s">
        <v>10</v>
      </c>
      <c r="B46" s="6" t="s">
        <v>211</v>
      </c>
      <c r="C46" s="7" t="s">
        <v>210</v>
      </c>
      <c r="D46" s="7" t="s">
        <v>222</v>
      </c>
      <c r="E46" s="7" t="s">
        <v>61</v>
      </c>
      <c r="F46" s="6" t="s">
        <v>186</v>
      </c>
      <c r="G46" s="7" t="str">
        <f>+VLOOKUP(E46,Summary!$E$3:$F$47,2,0)</f>
        <v>INE1TAE01010</v>
      </c>
      <c r="H46" s="8">
        <v>46168</v>
      </c>
      <c r="I46" s="7" t="s">
        <v>195</v>
      </c>
      <c r="J46" s="9">
        <v>116</v>
      </c>
      <c r="K46" s="9">
        <v>386.01</v>
      </c>
      <c r="L46" s="9">
        <v>44800.11</v>
      </c>
    </row>
    <row r="47" spans="1:12" x14ac:dyDescent="0.35">
      <c r="A47" s="6" t="s">
        <v>10</v>
      </c>
      <c r="B47" s="6" t="s">
        <v>211</v>
      </c>
      <c r="C47" s="7" t="s">
        <v>210</v>
      </c>
      <c r="D47" s="7" t="s">
        <v>222</v>
      </c>
      <c r="E47" s="7" t="s">
        <v>37</v>
      </c>
      <c r="F47" s="6" t="s">
        <v>186</v>
      </c>
      <c r="G47" s="7" t="str">
        <f>+VLOOKUP(E47,Summary!$E$3:$F$47,2,0)</f>
        <v>INE068V01023</v>
      </c>
      <c r="H47" s="8">
        <v>46164</v>
      </c>
      <c r="I47" s="7" t="s">
        <v>195</v>
      </c>
      <c r="J47" s="9">
        <v>13</v>
      </c>
      <c r="K47" s="9">
        <v>2329.9908</v>
      </c>
      <c r="L47" s="9">
        <v>30305.02</v>
      </c>
    </row>
    <row r="48" spans="1:12" x14ac:dyDescent="0.35">
      <c r="A48" s="6" t="s">
        <v>10</v>
      </c>
      <c r="B48" s="6" t="s">
        <v>211</v>
      </c>
      <c r="C48" s="7" t="s">
        <v>210</v>
      </c>
      <c r="D48" s="7" t="s">
        <v>222</v>
      </c>
      <c r="E48" s="7" t="s">
        <v>37</v>
      </c>
      <c r="F48" s="6" t="s">
        <v>186</v>
      </c>
      <c r="G48" s="7" t="str">
        <f>+VLOOKUP(E48,Summary!$E$3:$F$47,2,0)</f>
        <v>INE068V01023</v>
      </c>
      <c r="H48" s="8">
        <v>46163</v>
      </c>
      <c r="I48" s="7" t="s">
        <v>195</v>
      </c>
      <c r="J48" s="9">
        <v>245</v>
      </c>
      <c r="K48" s="9">
        <v>2339.0300000000002</v>
      </c>
      <c r="L48" s="9">
        <v>573352.52</v>
      </c>
    </row>
    <row r="49" spans="1:12" x14ac:dyDescent="0.35">
      <c r="A49" s="6" t="s">
        <v>10</v>
      </c>
      <c r="B49" s="6" t="s">
        <v>211</v>
      </c>
      <c r="C49" s="7" t="s">
        <v>210</v>
      </c>
      <c r="D49" s="7" t="s">
        <v>222</v>
      </c>
      <c r="E49" s="7" t="s">
        <v>201</v>
      </c>
      <c r="F49" s="6" t="s">
        <v>186</v>
      </c>
      <c r="G49" s="7" t="s">
        <v>227</v>
      </c>
      <c r="H49" s="8">
        <v>46163</v>
      </c>
      <c r="I49" s="7" t="s">
        <v>194</v>
      </c>
      <c r="J49" s="9">
        <v>46</v>
      </c>
      <c r="K49" s="9">
        <v>2320.4238999999998</v>
      </c>
      <c r="L49" s="9">
        <v>106686.13</v>
      </c>
    </row>
    <row r="50" spans="1:12" x14ac:dyDescent="0.35">
      <c r="A50" s="6" t="s">
        <v>10</v>
      </c>
      <c r="B50" s="6" t="s">
        <v>211</v>
      </c>
      <c r="C50" s="7" t="s">
        <v>210</v>
      </c>
      <c r="D50" s="7" t="s">
        <v>222</v>
      </c>
      <c r="E50" s="7" t="s">
        <v>51</v>
      </c>
      <c r="F50" s="6" t="s">
        <v>186</v>
      </c>
      <c r="G50" s="7" t="str">
        <f>+VLOOKUP(E50,Summary!$E$3:$F$47,2,0)</f>
        <v>INE761H01022</v>
      </c>
      <c r="H50" s="8">
        <v>46163</v>
      </c>
      <c r="I50" s="7" t="s">
        <v>195</v>
      </c>
      <c r="J50" s="9">
        <v>8</v>
      </c>
      <c r="K50" s="9">
        <v>37975.212500000001</v>
      </c>
      <c r="L50" s="9">
        <v>303983.98</v>
      </c>
    </row>
    <row r="51" spans="1:12" x14ac:dyDescent="0.35">
      <c r="A51" s="6" t="s">
        <v>10</v>
      </c>
      <c r="B51" s="6" t="s">
        <v>211</v>
      </c>
      <c r="C51" s="7" t="s">
        <v>210</v>
      </c>
      <c r="D51" s="7" t="s">
        <v>222</v>
      </c>
      <c r="E51" s="7" t="s">
        <v>202</v>
      </c>
      <c r="F51" s="6" t="s">
        <v>186</v>
      </c>
      <c r="G51" s="7" t="s">
        <v>231</v>
      </c>
      <c r="H51" s="8">
        <v>46163</v>
      </c>
      <c r="I51" s="7" t="s">
        <v>194</v>
      </c>
      <c r="J51" s="9">
        <v>30</v>
      </c>
      <c r="K51" s="9">
        <v>1285.0889999999999</v>
      </c>
      <c r="L51" s="9">
        <v>38533.4</v>
      </c>
    </row>
    <row r="52" spans="1:12" x14ac:dyDescent="0.35">
      <c r="A52" s="6" t="s">
        <v>10</v>
      </c>
      <c r="B52" s="6" t="s">
        <v>211</v>
      </c>
      <c r="C52" s="7" t="s">
        <v>210</v>
      </c>
      <c r="D52" s="7" t="s">
        <v>222</v>
      </c>
      <c r="E52" s="7" t="s">
        <v>201</v>
      </c>
      <c r="F52" s="6" t="s">
        <v>186</v>
      </c>
      <c r="G52" s="7" t="s">
        <v>227</v>
      </c>
      <c r="H52" s="8">
        <v>46162</v>
      </c>
      <c r="I52" s="7" t="s">
        <v>194</v>
      </c>
      <c r="J52" s="9">
        <v>25</v>
      </c>
      <c r="K52" s="9">
        <v>2358.5540000000001</v>
      </c>
      <c r="L52" s="9">
        <v>58934.37</v>
      </c>
    </row>
    <row r="53" spans="1:12" x14ac:dyDescent="0.35">
      <c r="A53" s="6" t="s">
        <v>10</v>
      </c>
      <c r="B53" s="6" t="s">
        <v>211</v>
      </c>
      <c r="C53" s="7" t="s">
        <v>210</v>
      </c>
      <c r="D53" s="7" t="s">
        <v>222</v>
      </c>
      <c r="E53" s="7" t="s">
        <v>202</v>
      </c>
      <c r="F53" s="6" t="s">
        <v>186</v>
      </c>
      <c r="G53" s="7" t="s">
        <v>231</v>
      </c>
      <c r="H53" s="8">
        <v>46162</v>
      </c>
      <c r="I53" s="7" t="s">
        <v>194</v>
      </c>
      <c r="J53" s="9">
        <v>510</v>
      </c>
      <c r="K53" s="9">
        <v>1284.5301999999999</v>
      </c>
      <c r="L53" s="9">
        <v>654651.81000000006</v>
      </c>
    </row>
    <row r="54" spans="1:12" x14ac:dyDescent="0.35">
      <c r="A54" s="6" t="s">
        <v>10</v>
      </c>
      <c r="B54" s="6" t="s">
        <v>211</v>
      </c>
      <c r="C54" s="7" t="s">
        <v>210</v>
      </c>
      <c r="D54" s="7" t="s">
        <v>222</v>
      </c>
      <c r="E54" s="7" t="s">
        <v>51</v>
      </c>
      <c r="F54" s="6" t="s">
        <v>186</v>
      </c>
      <c r="G54" s="7" t="str">
        <f>+VLOOKUP(E54,Summary!$E$3:$F$47,2,0)</f>
        <v>INE761H01022</v>
      </c>
      <c r="H54" s="8">
        <v>46160</v>
      </c>
      <c r="I54" s="7" t="s">
        <v>195</v>
      </c>
      <c r="J54" s="9">
        <v>15</v>
      </c>
      <c r="K54" s="9">
        <v>37358.639999999999</v>
      </c>
      <c r="L54" s="9">
        <v>560659.81999999995</v>
      </c>
    </row>
    <row r="55" spans="1:12" x14ac:dyDescent="0.35">
      <c r="A55" s="6" t="s">
        <v>10</v>
      </c>
      <c r="B55" s="6" t="s">
        <v>211</v>
      </c>
      <c r="C55" s="7" t="s">
        <v>210</v>
      </c>
      <c r="D55" s="7" t="s">
        <v>222</v>
      </c>
      <c r="E55" s="7" t="s">
        <v>203</v>
      </c>
      <c r="F55" s="6" t="s">
        <v>186</v>
      </c>
      <c r="G55" s="7" t="s">
        <v>230</v>
      </c>
      <c r="H55" s="8">
        <v>46160</v>
      </c>
      <c r="I55" s="7" t="s">
        <v>194</v>
      </c>
      <c r="J55" s="9">
        <v>4106</v>
      </c>
      <c r="K55" s="9">
        <v>99.4636</v>
      </c>
      <c r="L55" s="9">
        <v>408193.47</v>
      </c>
    </row>
    <row r="56" spans="1:12" x14ac:dyDescent="0.35">
      <c r="A56" s="6" t="s">
        <v>10</v>
      </c>
      <c r="B56" s="6" t="s">
        <v>211</v>
      </c>
      <c r="C56" s="7" t="s">
        <v>210</v>
      </c>
      <c r="D56" s="7" t="s">
        <v>222</v>
      </c>
      <c r="E56" s="7" t="s">
        <v>33</v>
      </c>
      <c r="F56" s="6" t="s">
        <v>186</v>
      </c>
      <c r="G56" s="7" t="str">
        <f>+VLOOKUP(E56,Summary!$E$3:$F$47,2,0)</f>
        <v>INE600L01024</v>
      </c>
      <c r="H56" s="8">
        <v>46157</v>
      </c>
      <c r="I56" s="7" t="s">
        <v>195</v>
      </c>
      <c r="J56" s="9">
        <v>498</v>
      </c>
      <c r="K56" s="9">
        <v>1609.7285999999999</v>
      </c>
      <c r="L56" s="9">
        <v>802045.65</v>
      </c>
    </row>
    <row r="57" spans="1:12" x14ac:dyDescent="0.35">
      <c r="A57" s="6" t="s">
        <v>10</v>
      </c>
      <c r="B57" s="6" t="s">
        <v>211</v>
      </c>
      <c r="C57" s="7" t="s">
        <v>210</v>
      </c>
      <c r="D57" s="7" t="s">
        <v>222</v>
      </c>
      <c r="E57" s="7" t="s">
        <v>51</v>
      </c>
      <c r="F57" s="6" t="s">
        <v>186</v>
      </c>
      <c r="G57" s="7" t="str">
        <f>+VLOOKUP(E57,Summary!$E$3:$F$47,2,0)</f>
        <v>INE761H01022</v>
      </c>
      <c r="H57" s="8">
        <v>46157</v>
      </c>
      <c r="I57" s="7" t="s">
        <v>195</v>
      </c>
      <c r="J57" s="9">
        <v>3</v>
      </c>
      <c r="K57" s="9">
        <v>36620.364600000001</v>
      </c>
      <c r="L57" s="9">
        <v>109916.02</v>
      </c>
    </row>
    <row r="58" spans="1:12" x14ac:dyDescent="0.35">
      <c r="A58" s="6" t="s">
        <v>10</v>
      </c>
      <c r="B58" s="6" t="s">
        <v>211</v>
      </c>
      <c r="C58" s="7" t="s">
        <v>210</v>
      </c>
      <c r="D58" s="7" t="s">
        <v>222</v>
      </c>
      <c r="E58" s="7" t="s">
        <v>55</v>
      </c>
      <c r="F58" s="6" t="s">
        <v>186</v>
      </c>
      <c r="G58" s="7" t="str">
        <f>+VLOOKUP(E58,Summary!$E$3:$F$47,2,0)</f>
        <v>INE205C01021</v>
      </c>
      <c r="H58" s="8">
        <v>46157</v>
      </c>
      <c r="I58" s="7" t="s">
        <v>195</v>
      </c>
      <c r="J58" s="9">
        <v>22</v>
      </c>
      <c r="K58" s="9">
        <v>1504.7329</v>
      </c>
      <c r="L58" s="9">
        <v>33120.67</v>
      </c>
    </row>
    <row r="59" spans="1:12" x14ac:dyDescent="0.35">
      <c r="A59" s="6" t="s">
        <v>10</v>
      </c>
      <c r="B59" s="6" t="s">
        <v>211</v>
      </c>
      <c r="C59" s="7" t="s">
        <v>210</v>
      </c>
      <c r="D59" s="7" t="s">
        <v>222</v>
      </c>
      <c r="E59" s="7" t="s">
        <v>203</v>
      </c>
      <c r="F59" s="6" t="s">
        <v>186</v>
      </c>
      <c r="G59" s="7" t="s">
        <v>230</v>
      </c>
      <c r="H59" s="8">
        <v>46157</v>
      </c>
      <c r="I59" s="7" t="s">
        <v>194</v>
      </c>
      <c r="J59" s="9">
        <v>2695</v>
      </c>
      <c r="K59" s="9">
        <v>102.61320000000001</v>
      </c>
      <c r="L59" s="9">
        <v>276404.32</v>
      </c>
    </row>
    <row r="60" spans="1:12" x14ac:dyDescent="0.35">
      <c r="A60" s="6" t="s">
        <v>10</v>
      </c>
      <c r="B60" s="6" t="s">
        <v>211</v>
      </c>
      <c r="C60" s="7" t="s">
        <v>210</v>
      </c>
      <c r="D60" s="7" t="s">
        <v>222</v>
      </c>
      <c r="E60" s="7" t="s">
        <v>15</v>
      </c>
      <c r="F60" s="6" t="s">
        <v>186</v>
      </c>
      <c r="G60" s="7" t="str">
        <f>+VLOOKUP(E60,Summary!$E$3:$F$47,2,0)</f>
        <v>INE476A01022</v>
      </c>
      <c r="H60" s="8">
        <v>46156</v>
      </c>
      <c r="I60" s="7" t="s">
        <v>195</v>
      </c>
      <c r="J60" s="9">
        <v>77</v>
      </c>
      <c r="K60" s="9">
        <v>130.5993</v>
      </c>
      <c r="L60" s="9">
        <v>10061.18</v>
      </c>
    </row>
    <row r="61" spans="1:12" x14ac:dyDescent="0.35">
      <c r="A61" s="6" t="s">
        <v>10</v>
      </c>
      <c r="B61" s="6" t="s">
        <v>211</v>
      </c>
      <c r="C61" s="7" t="s">
        <v>210</v>
      </c>
      <c r="D61" s="7" t="s">
        <v>222</v>
      </c>
      <c r="E61" s="7" t="s">
        <v>31</v>
      </c>
      <c r="F61" s="6" t="s">
        <v>186</v>
      </c>
      <c r="G61" s="7" t="str">
        <f>+VLOOKUP(E61,Summary!$E$3:$F$47,2,0)</f>
        <v>INE136B01020</v>
      </c>
      <c r="H61" s="8">
        <v>46156</v>
      </c>
      <c r="I61" s="7" t="s">
        <v>195</v>
      </c>
      <c r="J61" s="9">
        <v>66</v>
      </c>
      <c r="K61" s="9">
        <v>878.47529999999995</v>
      </c>
      <c r="L61" s="9">
        <v>58008.36</v>
      </c>
    </row>
    <row r="62" spans="1:12" x14ac:dyDescent="0.35">
      <c r="A62" s="6" t="s">
        <v>10</v>
      </c>
      <c r="B62" s="6" t="s">
        <v>211</v>
      </c>
      <c r="C62" s="7" t="s">
        <v>210</v>
      </c>
      <c r="D62" s="7" t="s">
        <v>222</v>
      </c>
      <c r="E62" s="7" t="s">
        <v>198</v>
      </c>
      <c r="F62" s="6" t="s">
        <v>186</v>
      </c>
      <c r="G62" s="7" t="s">
        <v>225</v>
      </c>
      <c r="H62" s="8">
        <v>46156</v>
      </c>
      <c r="I62" s="7" t="s">
        <v>195</v>
      </c>
      <c r="J62" s="9">
        <v>167</v>
      </c>
      <c r="K62" s="9">
        <v>469.34399999999999</v>
      </c>
      <c r="L62" s="9">
        <v>78419.64</v>
      </c>
    </row>
    <row r="63" spans="1:12" x14ac:dyDescent="0.35">
      <c r="A63" s="6" t="s">
        <v>10</v>
      </c>
      <c r="B63" s="6" t="s">
        <v>211</v>
      </c>
      <c r="C63" s="7" t="s">
        <v>210</v>
      </c>
      <c r="D63" s="7" t="s">
        <v>222</v>
      </c>
      <c r="E63" s="7" t="s">
        <v>201</v>
      </c>
      <c r="F63" s="6" t="s">
        <v>186</v>
      </c>
      <c r="G63" s="7" t="s">
        <v>227</v>
      </c>
      <c r="H63" s="8">
        <v>46156</v>
      </c>
      <c r="I63" s="7" t="s">
        <v>195</v>
      </c>
      <c r="J63" s="9">
        <v>69</v>
      </c>
      <c r="K63" s="9">
        <v>2417.6648</v>
      </c>
      <c r="L63" s="9">
        <v>166902.28</v>
      </c>
    </row>
    <row r="64" spans="1:12" x14ac:dyDescent="0.35">
      <c r="A64" s="6" t="s">
        <v>10</v>
      </c>
      <c r="B64" s="6" t="s">
        <v>211</v>
      </c>
      <c r="C64" s="7" t="s">
        <v>210</v>
      </c>
      <c r="D64" s="7" t="s">
        <v>222</v>
      </c>
      <c r="E64" s="7" t="s">
        <v>39</v>
      </c>
      <c r="F64" s="6" t="s">
        <v>186</v>
      </c>
      <c r="G64" s="7" t="str">
        <f>+VLOOKUP(E64,Summary!$E$3:$F$47,2,0)</f>
        <v>INE090A01021</v>
      </c>
      <c r="H64" s="8">
        <v>46156</v>
      </c>
      <c r="I64" s="7" t="s">
        <v>195</v>
      </c>
      <c r="J64" s="9">
        <v>3</v>
      </c>
      <c r="K64" s="9">
        <v>1252.1333</v>
      </c>
      <c r="L64" s="9">
        <v>3758.28</v>
      </c>
    </row>
    <row r="65" spans="1:12" x14ac:dyDescent="0.35">
      <c r="A65" s="6" t="s">
        <v>10</v>
      </c>
      <c r="B65" s="6" t="s">
        <v>211</v>
      </c>
      <c r="C65" s="7" t="s">
        <v>210</v>
      </c>
      <c r="D65" s="7" t="s">
        <v>222</v>
      </c>
      <c r="E65" s="7" t="s">
        <v>41</v>
      </c>
      <c r="F65" s="6" t="s">
        <v>186</v>
      </c>
      <c r="G65" s="7" t="str">
        <f>+VLOOKUP(E65,Summary!$E$3:$F$47,2,0)</f>
        <v>INE646L01027</v>
      </c>
      <c r="H65" s="8">
        <v>46156</v>
      </c>
      <c r="I65" s="7" t="s">
        <v>195</v>
      </c>
      <c r="J65" s="9">
        <v>27</v>
      </c>
      <c r="K65" s="9">
        <v>4282.1741000000002</v>
      </c>
      <c r="L65" s="9">
        <v>115676.51</v>
      </c>
    </row>
    <row r="66" spans="1:12" x14ac:dyDescent="0.35">
      <c r="A66" s="6" t="s">
        <v>10</v>
      </c>
      <c r="B66" s="6" t="s">
        <v>211</v>
      </c>
      <c r="C66" s="7" t="s">
        <v>210</v>
      </c>
      <c r="D66" s="7" t="s">
        <v>222</v>
      </c>
      <c r="E66" s="7" t="s">
        <v>45</v>
      </c>
      <c r="F66" s="6" t="s">
        <v>186</v>
      </c>
      <c r="G66" s="7" t="str">
        <f>+VLOOKUP(E66,Summary!$E$3:$F$47,2,0)</f>
        <v>INE018A01030</v>
      </c>
      <c r="H66" s="8">
        <v>46156</v>
      </c>
      <c r="I66" s="7" t="s">
        <v>195</v>
      </c>
      <c r="J66" s="9">
        <v>2</v>
      </c>
      <c r="K66" s="9">
        <v>3965.75</v>
      </c>
      <c r="L66" s="9">
        <v>7935.47</v>
      </c>
    </row>
    <row r="67" spans="1:12" x14ac:dyDescent="0.35">
      <c r="A67" s="6" t="s">
        <v>10</v>
      </c>
      <c r="B67" s="6" t="s">
        <v>211</v>
      </c>
      <c r="C67" s="7" t="s">
        <v>210</v>
      </c>
      <c r="D67" s="7" t="s">
        <v>222</v>
      </c>
      <c r="E67" s="7" t="s">
        <v>49</v>
      </c>
      <c r="F67" s="6" t="s">
        <v>186</v>
      </c>
      <c r="G67" s="7" t="str">
        <f>+VLOOKUP(E67,Summary!$E$3:$F$47,2,0)</f>
        <v>INE214T01019</v>
      </c>
      <c r="H67" s="8">
        <v>46156</v>
      </c>
      <c r="I67" s="7" t="s">
        <v>195</v>
      </c>
      <c r="J67" s="9">
        <v>2</v>
      </c>
      <c r="K67" s="9">
        <v>3954.45</v>
      </c>
      <c r="L67" s="9">
        <v>7912.85</v>
      </c>
    </row>
    <row r="68" spans="1:12" x14ac:dyDescent="0.35">
      <c r="A68" s="6" t="s">
        <v>10</v>
      </c>
      <c r="B68" s="6" t="s">
        <v>211</v>
      </c>
      <c r="C68" s="7" t="s">
        <v>210</v>
      </c>
      <c r="D68" s="7" t="s">
        <v>222</v>
      </c>
      <c r="E68" s="7" t="s">
        <v>19</v>
      </c>
      <c r="F68" s="6" t="s">
        <v>186</v>
      </c>
      <c r="G68" s="7" t="str">
        <f>+VLOOKUP(E68,Summary!$E$3:$F$47,2,0)</f>
        <v>INE180A01020</v>
      </c>
      <c r="H68" s="8">
        <v>46156</v>
      </c>
      <c r="I68" s="7" t="s">
        <v>195</v>
      </c>
      <c r="J68" s="9">
        <v>3</v>
      </c>
      <c r="K68" s="9">
        <v>1632.1767</v>
      </c>
      <c r="L68" s="9">
        <v>4898.9799999999996</v>
      </c>
    </row>
    <row r="69" spans="1:12" x14ac:dyDescent="0.35">
      <c r="A69" s="6" t="s">
        <v>10</v>
      </c>
      <c r="B69" s="6" t="s">
        <v>211</v>
      </c>
      <c r="C69" s="7" t="s">
        <v>210</v>
      </c>
      <c r="D69" s="7" t="s">
        <v>222</v>
      </c>
      <c r="E69" s="7" t="s">
        <v>55</v>
      </c>
      <c r="F69" s="6" t="s">
        <v>186</v>
      </c>
      <c r="G69" s="7" t="str">
        <f>+VLOOKUP(E69,Summary!$E$3:$F$47,2,0)</f>
        <v>INE205C01021</v>
      </c>
      <c r="H69" s="8">
        <v>46156</v>
      </c>
      <c r="I69" s="7" t="s">
        <v>195</v>
      </c>
      <c r="J69" s="9">
        <v>371</v>
      </c>
      <c r="K69" s="9">
        <v>1524.5751</v>
      </c>
      <c r="L69" s="9">
        <v>565956.71</v>
      </c>
    </row>
    <row r="70" spans="1:12" x14ac:dyDescent="0.35">
      <c r="A70" s="6" t="s">
        <v>10</v>
      </c>
      <c r="B70" s="6" t="s">
        <v>211</v>
      </c>
      <c r="C70" s="7" t="s">
        <v>210</v>
      </c>
      <c r="D70" s="7" t="s">
        <v>222</v>
      </c>
      <c r="E70" s="7" t="s">
        <v>203</v>
      </c>
      <c r="F70" s="6" t="s">
        <v>186</v>
      </c>
      <c r="G70" s="7" t="s">
        <v>230</v>
      </c>
      <c r="H70" s="8">
        <v>46156</v>
      </c>
      <c r="I70" s="7" t="s">
        <v>195</v>
      </c>
      <c r="J70" s="9">
        <v>121</v>
      </c>
      <c r="K70" s="9">
        <v>104.18640000000001</v>
      </c>
      <c r="L70" s="9">
        <v>12612.85</v>
      </c>
    </row>
    <row r="71" spans="1:12" x14ac:dyDescent="0.35">
      <c r="A71" s="6" t="s">
        <v>10</v>
      </c>
      <c r="B71" s="6" t="s">
        <v>211</v>
      </c>
      <c r="C71" s="7" t="s">
        <v>210</v>
      </c>
      <c r="D71" s="7" t="s">
        <v>222</v>
      </c>
      <c r="E71" s="7" t="s">
        <v>57</v>
      </c>
      <c r="F71" s="6" t="s">
        <v>186</v>
      </c>
      <c r="G71" s="7" t="str">
        <f>+VLOOKUP(E71,Summary!$E$3:$F$47,2,0)</f>
        <v>INE575P01011</v>
      </c>
      <c r="H71" s="8">
        <v>46156</v>
      </c>
      <c r="I71" s="7" t="s">
        <v>195</v>
      </c>
      <c r="J71" s="9">
        <v>4</v>
      </c>
      <c r="K71" s="9">
        <v>508.38249999999999</v>
      </c>
      <c r="L71" s="9">
        <v>2034.55</v>
      </c>
    </row>
    <row r="72" spans="1:12" x14ac:dyDescent="0.35">
      <c r="A72" s="6" t="s">
        <v>10</v>
      </c>
      <c r="B72" s="6" t="s">
        <v>211</v>
      </c>
      <c r="C72" s="7" t="s">
        <v>210</v>
      </c>
      <c r="D72" s="7" t="s">
        <v>222</v>
      </c>
      <c r="E72" s="7" t="s">
        <v>61</v>
      </c>
      <c r="F72" s="6" t="s">
        <v>186</v>
      </c>
      <c r="G72" s="7" t="str">
        <f>+VLOOKUP(E72,Summary!$E$3:$F$47,2,0)</f>
        <v>INE1TAE01010</v>
      </c>
      <c r="H72" s="8">
        <v>46156</v>
      </c>
      <c r="I72" s="7" t="s">
        <v>195</v>
      </c>
      <c r="J72" s="9">
        <v>44</v>
      </c>
      <c r="K72" s="9">
        <v>380.27359999999999</v>
      </c>
      <c r="L72" s="9">
        <v>16740.41</v>
      </c>
    </row>
    <row r="73" spans="1:12" x14ac:dyDescent="0.35">
      <c r="A73" s="6" t="s">
        <v>10</v>
      </c>
      <c r="B73" s="6" t="s">
        <v>211</v>
      </c>
      <c r="C73" s="7" t="s">
        <v>210</v>
      </c>
      <c r="D73" s="7" t="s">
        <v>222</v>
      </c>
      <c r="E73" s="7" t="s">
        <v>67</v>
      </c>
      <c r="F73" s="6" t="s">
        <v>186</v>
      </c>
      <c r="G73" s="7" t="str">
        <f>+VLOOKUP(E73,Summary!$E$3:$F$47,2,0)</f>
        <v>INE669C01036</v>
      </c>
      <c r="H73" s="8">
        <v>46156</v>
      </c>
      <c r="I73" s="7" t="s">
        <v>195</v>
      </c>
      <c r="J73" s="9">
        <v>4</v>
      </c>
      <c r="K73" s="9">
        <v>1333.42</v>
      </c>
      <c r="L73" s="9">
        <v>5336.35</v>
      </c>
    </row>
    <row r="74" spans="1:12" x14ac:dyDescent="0.35">
      <c r="A74" s="6" t="s">
        <v>10</v>
      </c>
      <c r="B74" s="6" t="s">
        <v>211</v>
      </c>
      <c r="C74" s="7" t="s">
        <v>210</v>
      </c>
      <c r="D74" s="7" t="s">
        <v>222</v>
      </c>
      <c r="E74" s="7" t="s">
        <v>202</v>
      </c>
      <c r="F74" s="6" t="s">
        <v>186</v>
      </c>
      <c r="G74" s="7" t="s">
        <v>231</v>
      </c>
      <c r="H74" s="8">
        <v>46156</v>
      </c>
      <c r="I74" s="7" t="s">
        <v>195</v>
      </c>
      <c r="J74" s="9">
        <v>9</v>
      </c>
      <c r="K74" s="9">
        <v>1268.76</v>
      </c>
      <c r="L74" s="9">
        <v>11424.55</v>
      </c>
    </row>
    <row r="75" spans="1:12" x14ac:dyDescent="0.35">
      <c r="A75" s="6" t="s">
        <v>10</v>
      </c>
      <c r="B75" s="6" t="s">
        <v>211</v>
      </c>
      <c r="C75" s="7" t="s">
        <v>210</v>
      </c>
      <c r="D75" s="7" t="s">
        <v>222</v>
      </c>
      <c r="E75" s="7" t="s">
        <v>15</v>
      </c>
      <c r="F75" s="6" t="s">
        <v>186</v>
      </c>
      <c r="G75" s="7" t="str">
        <f>+VLOOKUP(E75,Summary!$E$3:$F$47,2,0)</f>
        <v>INE476A01022</v>
      </c>
      <c r="H75" s="8">
        <v>46154</v>
      </c>
      <c r="I75" s="7" t="s">
        <v>195</v>
      </c>
      <c r="J75" s="9">
        <v>128</v>
      </c>
      <c r="K75" s="9">
        <v>130.4948</v>
      </c>
      <c r="L75" s="9">
        <v>16711.68</v>
      </c>
    </row>
    <row r="76" spans="1:12" x14ac:dyDescent="0.35">
      <c r="A76" s="6" t="s">
        <v>10</v>
      </c>
      <c r="B76" s="6" t="s">
        <v>211</v>
      </c>
      <c r="C76" s="7" t="s">
        <v>210</v>
      </c>
      <c r="D76" s="7" t="s">
        <v>222</v>
      </c>
      <c r="E76" s="7" t="s">
        <v>31</v>
      </c>
      <c r="F76" s="6" t="s">
        <v>186</v>
      </c>
      <c r="G76" s="7" t="str">
        <f>+VLOOKUP(E76,Summary!$E$3:$F$47,2,0)</f>
        <v>INE136B01020</v>
      </c>
      <c r="H76" s="8">
        <v>46154</v>
      </c>
      <c r="I76" s="7" t="s">
        <v>195</v>
      </c>
      <c r="J76" s="9">
        <v>90</v>
      </c>
      <c r="K76" s="9">
        <v>892.38369999999998</v>
      </c>
      <c r="L76" s="9">
        <v>80354.69</v>
      </c>
    </row>
    <row r="77" spans="1:12" x14ac:dyDescent="0.35">
      <c r="A77" s="6" t="s">
        <v>10</v>
      </c>
      <c r="B77" s="6" t="s">
        <v>211</v>
      </c>
      <c r="C77" s="7" t="s">
        <v>210</v>
      </c>
      <c r="D77" s="7" t="s">
        <v>222</v>
      </c>
      <c r="E77" s="7" t="s">
        <v>198</v>
      </c>
      <c r="F77" s="6" t="s">
        <v>186</v>
      </c>
      <c r="G77" s="7" t="s">
        <v>225</v>
      </c>
      <c r="H77" s="8">
        <v>46154</v>
      </c>
      <c r="I77" s="7" t="s">
        <v>195</v>
      </c>
      <c r="J77" s="9">
        <v>233</v>
      </c>
      <c r="K77" s="9">
        <v>470.8503</v>
      </c>
      <c r="L77" s="9">
        <v>109762.97</v>
      </c>
    </row>
    <row r="78" spans="1:12" x14ac:dyDescent="0.35">
      <c r="A78" s="6" t="s">
        <v>10</v>
      </c>
      <c r="B78" s="6" t="s">
        <v>211</v>
      </c>
      <c r="C78" s="7" t="s">
        <v>210</v>
      </c>
      <c r="D78" s="7" t="s">
        <v>222</v>
      </c>
      <c r="E78" s="7" t="s">
        <v>201</v>
      </c>
      <c r="F78" s="6" t="s">
        <v>186</v>
      </c>
      <c r="G78" s="7" t="s">
        <v>227</v>
      </c>
      <c r="H78" s="8">
        <v>46154</v>
      </c>
      <c r="I78" s="7" t="s">
        <v>195</v>
      </c>
      <c r="J78" s="9">
        <v>133</v>
      </c>
      <c r="K78" s="9">
        <v>2462.8453</v>
      </c>
      <c r="L78" s="9">
        <v>327722.2</v>
      </c>
    </row>
    <row r="79" spans="1:12" x14ac:dyDescent="0.35">
      <c r="A79" s="6" t="s">
        <v>10</v>
      </c>
      <c r="B79" s="6" t="s">
        <v>211</v>
      </c>
      <c r="C79" s="7" t="s">
        <v>210</v>
      </c>
      <c r="D79" s="7" t="s">
        <v>222</v>
      </c>
      <c r="E79" s="7" t="s">
        <v>41</v>
      </c>
      <c r="F79" s="6" t="s">
        <v>186</v>
      </c>
      <c r="G79" s="7" t="str">
        <f>+VLOOKUP(E79,Summary!$E$3:$F$47,2,0)</f>
        <v>INE646L01027</v>
      </c>
      <c r="H79" s="8">
        <v>46154</v>
      </c>
      <c r="I79" s="7" t="s">
        <v>195</v>
      </c>
      <c r="J79" s="9">
        <v>38</v>
      </c>
      <c r="K79" s="9">
        <v>4241.6866</v>
      </c>
      <c r="L79" s="9">
        <v>161264.68</v>
      </c>
    </row>
    <row r="80" spans="1:12" x14ac:dyDescent="0.35">
      <c r="A80" s="6" t="s">
        <v>10</v>
      </c>
      <c r="B80" s="6" t="s">
        <v>211</v>
      </c>
      <c r="C80" s="7" t="s">
        <v>210</v>
      </c>
      <c r="D80" s="7" t="s">
        <v>222</v>
      </c>
      <c r="E80" s="7" t="s">
        <v>45</v>
      </c>
      <c r="F80" s="6" t="s">
        <v>186</v>
      </c>
      <c r="G80" s="7" t="str">
        <f>+VLOOKUP(E80,Summary!$E$3:$F$47,2,0)</f>
        <v>INE018A01030</v>
      </c>
      <c r="H80" s="8">
        <v>46154</v>
      </c>
      <c r="I80" s="7" t="s">
        <v>195</v>
      </c>
      <c r="J80" s="9">
        <v>4</v>
      </c>
      <c r="K80" s="9">
        <v>3892.6550000000002</v>
      </c>
      <c r="L80" s="9">
        <v>15578.41</v>
      </c>
    </row>
    <row r="81" spans="1:12" x14ac:dyDescent="0.35">
      <c r="A81" s="6" t="s">
        <v>10</v>
      </c>
      <c r="B81" s="6" t="s">
        <v>211</v>
      </c>
      <c r="C81" s="7" t="s">
        <v>210</v>
      </c>
      <c r="D81" s="7" t="s">
        <v>222</v>
      </c>
      <c r="E81" s="7" t="s">
        <v>47</v>
      </c>
      <c r="F81" s="6" t="s">
        <v>186</v>
      </c>
      <c r="G81" s="7" t="str">
        <f>+VLOOKUP(E81,Summary!$E$3:$F$47,2,0)</f>
        <v>INE324D01010</v>
      </c>
      <c r="H81" s="8">
        <v>46154</v>
      </c>
      <c r="I81" s="7" t="s">
        <v>195</v>
      </c>
      <c r="J81" s="9">
        <v>38</v>
      </c>
      <c r="K81" s="9">
        <v>1493.4957999999999</v>
      </c>
      <c r="L81" s="9">
        <v>56781.23</v>
      </c>
    </row>
    <row r="82" spans="1:12" x14ac:dyDescent="0.35">
      <c r="A82" s="6" t="s">
        <v>10</v>
      </c>
      <c r="B82" s="6" t="s">
        <v>211</v>
      </c>
      <c r="C82" s="7" t="s">
        <v>210</v>
      </c>
      <c r="D82" s="7" t="s">
        <v>222</v>
      </c>
      <c r="E82" s="7" t="s">
        <v>203</v>
      </c>
      <c r="F82" s="6" t="s">
        <v>186</v>
      </c>
      <c r="G82" s="7" t="s">
        <v>230</v>
      </c>
      <c r="H82" s="8">
        <v>46154</v>
      </c>
      <c r="I82" s="7" t="s">
        <v>195</v>
      </c>
      <c r="J82" s="9">
        <v>155</v>
      </c>
      <c r="K82" s="9">
        <v>103.1448</v>
      </c>
      <c r="L82" s="9">
        <v>15995.42</v>
      </c>
    </row>
    <row r="83" spans="1:12" x14ac:dyDescent="0.35">
      <c r="A83" s="6" t="s">
        <v>10</v>
      </c>
      <c r="B83" s="6" t="s">
        <v>211</v>
      </c>
      <c r="C83" s="7" t="s">
        <v>210</v>
      </c>
      <c r="D83" s="7" t="s">
        <v>222</v>
      </c>
      <c r="E83" s="7" t="s">
        <v>61</v>
      </c>
      <c r="F83" s="6" t="s">
        <v>186</v>
      </c>
      <c r="G83" s="7" t="str">
        <f>+VLOOKUP(E83,Summary!$E$3:$F$47,2,0)</f>
        <v>INE1TAE01010</v>
      </c>
      <c r="H83" s="8">
        <v>46154</v>
      </c>
      <c r="I83" s="7" t="s">
        <v>195</v>
      </c>
      <c r="J83" s="9">
        <v>24</v>
      </c>
      <c r="K83" s="9">
        <v>398.12630000000001</v>
      </c>
      <c r="L83" s="9">
        <v>9559.81</v>
      </c>
    </row>
    <row r="84" spans="1:12" x14ac:dyDescent="0.35">
      <c r="A84" s="6" t="s">
        <v>10</v>
      </c>
      <c r="B84" s="6" t="s">
        <v>211</v>
      </c>
      <c r="C84" s="7" t="s">
        <v>210</v>
      </c>
      <c r="D84" s="7" t="s">
        <v>222</v>
      </c>
      <c r="E84" s="7" t="s">
        <v>202</v>
      </c>
      <c r="F84" s="6" t="s">
        <v>186</v>
      </c>
      <c r="G84" s="7" t="s">
        <v>231</v>
      </c>
      <c r="H84" s="8">
        <v>46154</v>
      </c>
      <c r="I84" s="7" t="s">
        <v>195</v>
      </c>
      <c r="J84" s="9">
        <v>18</v>
      </c>
      <c r="K84" s="9">
        <v>1254.8327999999999</v>
      </c>
      <c r="L84" s="9">
        <v>22598.28</v>
      </c>
    </row>
    <row r="85" spans="1:12" x14ac:dyDescent="0.35">
      <c r="A85" s="6" t="s">
        <v>10</v>
      </c>
      <c r="B85" s="6" t="s">
        <v>211</v>
      </c>
      <c r="C85" s="7" t="s">
        <v>210</v>
      </c>
      <c r="D85" s="7" t="s">
        <v>222</v>
      </c>
      <c r="E85" s="7" t="s">
        <v>39</v>
      </c>
      <c r="F85" s="6" t="s">
        <v>186</v>
      </c>
      <c r="G85" s="7" t="str">
        <f>+VLOOKUP(E85,Summary!$E$3:$F$47,2,0)</f>
        <v>INE090A01021</v>
      </c>
      <c r="H85" s="8">
        <v>46149</v>
      </c>
      <c r="I85" s="7" t="s">
        <v>195</v>
      </c>
      <c r="J85" s="9">
        <v>35</v>
      </c>
      <c r="K85" s="9">
        <v>1282.9349</v>
      </c>
      <c r="L85" s="9">
        <v>44947.62</v>
      </c>
    </row>
    <row r="86" spans="1:12" x14ac:dyDescent="0.35">
      <c r="A86" s="6" t="s">
        <v>10</v>
      </c>
      <c r="B86" s="6" t="s">
        <v>211</v>
      </c>
      <c r="C86" s="7" t="s">
        <v>210</v>
      </c>
      <c r="D86" s="7" t="s">
        <v>222</v>
      </c>
      <c r="E86" s="7" t="s">
        <v>45</v>
      </c>
      <c r="F86" s="6" t="s">
        <v>186</v>
      </c>
      <c r="G86" s="7" t="str">
        <f>+VLOOKUP(E86,Summary!$E$3:$F$47,2,0)</f>
        <v>INE018A01030</v>
      </c>
      <c r="H86" s="8">
        <v>46149</v>
      </c>
      <c r="I86" s="7" t="s">
        <v>195</v>
      </c>
      <c r="J86" s="9">
        <v>5</v>
      </c>
      <c r="K86" s="9">
        <v>4032.8539999999998</v>
      </c>
      <c r="L86" s="9">
        <v>20184.43</v>
      </c>
    </row>
    <row r="87" spans="1:12" x14ac:dyDescent="0.35">
      <c r="A87" s="6" t="s">
        <v>10</v>
      </c>
      <c r="B87" s="6" t="s">
        <v>211</v>
      </c>
      <c r="C87" s="7" t="s">
        <v>210</v>
      </c>
      <c r="D87" s="7" t="s">
        <v>222</v>
      </c>
      <c r="E87" s="7" t="s">
        <v>15</v>
      </c>
      <c r="F87" s="6" t="s">
        <v>186</v>
      </c>
      <c r="G87" s="7" t="str">
        <f>+VLOOKUP(E87,Summary!$E$3:$F$47,2,0)</f>
        <v>INE476A01022</v>
      </c>
      <c r="H87" s="8">
        <v>46142</v>
      </c>
      <c r="I87" s="7" t="s">
        <v>195</v>
      </c>
      <c r="J87" s="9">
        <v>509</v>
      </c>
      <c r="K87" s="9">
        <v>133.9008</v>
      </c>
      <c r="L87" s="9">
        <v>68189.56</v>
      </c>
    </row>
    <row r="88" spans="1:12" x14ac:dyDescent="0.35">
      <c r="A88" s="6" t="s">
        <v>10</v>
      </c>
      <c r="B88" s="6" t="s">
        <v>211</v>
      </c>
      <c r="C88" s="7" t="s">
        <v>210</v>
      </c>
      <c r="D88" s="7" t="s">
        <v>222</v>
      </c>
      <c r="E88" s="7" t="s">
        <v>45</v>
      </c>
      <c r="F88" s="6" t="s">
        <v>186</v>
      </c>
      <c r="G88" s="7" t="str">
        <f>+VLOOKUP(E88,Summary!$E$3:$F$47,2,0)</f>
        <v>INE018A01030</v>
      </c>
      <c r="H88" s="8">
        <v>46142</v>
      </c>
      <c r="I88" s="7" t="s">
        <v>195</v>
      </c>
      <c r="J88" s="9">
        <v>20</v>
      </c>
      <c r="K88" s="9">
        <v>3998.944</v>
      </c>
      <c r="L88" s="9">
        <v>80018.87</v>
      </c>
    </row>
    <row r="89" spans="1:12" x14ac:dyDescent="0.35">
      <c r="A89" s="6" t="s">
        <v>10</v>
      </c>
      <c r="B89" s="6" t="s">
        <v>211</v>
      </c>
      <c r="C89" s="7" t="s">
        <v>210</v>
      </c>
      <c r="D89" s="7" t="s">
        <v>222</v>
      </c>
      <c r="E89" s="7" t="s">
        <v>19</v>
      </c>
      <c r="F89" s="6" t="s">
        <v>186</v>
      </c>
      <c r="G89" s="7" t="str">
        <f>+VLOOKUP(E89,Summary!$E$3:$F$47,2,0)</f>
        <v>INE180A01020</v>
      </c>
      <c r="H89" s="8">
        <v>46142</v>
      </c>
      <c r="I89" s="7" t="s">
        <v>195</v>
      </c>
      <c r="J89" s="9">
        <v>40</v>
      </c>
      <c r="K89" s="9">
        <v>1584.5787</v>
      </c>
      <c r="L89" s="9">
        <v>63414.84</v>
      </c>
    </row>
    <row r="90" spans="1:12" x14ac:dyDescent="0.35">
      <c r="A90" s="6" t="s">
        <v>10</v>
      </c>
      <c r="B90" s="6" t="s">
        <v>211</v>
      </c>
      <c r="C90" s="7" t="s">
        <v>210</v>
      </c>
      <c r="D90" s="7" t="s">
        <v>222</v>
      </c>
      <c r="E90" s="7" t="s">
        <v>15</v>
      </c>
      <c r="F90" s="6" t="s">
        <v>186</v>
      </c>
      <c r="G90" s="7" t="str">
        <f>+VLOOKUP(E90,Summary!$E$3:$F$47,2,0)</f>
        <v>INE476A01022</v>
      </c>
      <c r="H90" s="8">
        <v>46141</v>
      </c>
      <c r="I90" s="7" t="s">
        <v>195</v>
      </c>
      <c r="J90" s="9">
        <v>631</v>
      </c>
      <c r="K90" s="9">
        <v>137.78489999999999</v>
      </c>
      <c r="L90" s="9">
        <v>86985.75</v>
      </c>
    </row>
    <row r="91" spans="1:12" x14ac:dyDescent="0.35">
      <c r="A91" s="6" t="s">
        <v>10</v>
      </c>
      <c r="B91" s="6" t="s">
        <v>211</v>
      </c>
      <c r="C91" s="7" t="s">
        <v>210</v>
      </c>
      <c r="D91" s="7" t="s">
        <v>222</v>
      </c>
      <c r="E91" s="7" t="s">
        <v>35</v>
      </c>
      <c r="F91" s="6" t="s">
        <v>186</v>
      </c>
      <c r="G91" s="7" t="str">
        <f>+VLOOKUP(E91,Summary!$E$3:$F$47,2,0)</f>
        <v>INE913H01037</v>
      </c>
      <c r="H91" s="8">
        <v>46141</v>
      </c>
      <c r="I91" s="7" t="s">
        <v>195</v>
      </c>
      <c r="J91" s="9">
        <v>10</v>
      </c>
      <c r="K91" s="9">
        <v>2353.2510000000002</v>
      </c>
      <c r="L91" s="9">
        <v>23544.28</v>
      </c>
    </row>
    <row r="92" spans="1:12" x14ac:dyDescent="0.35">
      <c r="A92" s="6" t="s">
        <v>10</v>
      </c>
      <c r="B92" s="6" t="s">
        <v>211</v>
      </c>
      <c r="C92" s="7" t="s">
        <v>210</v>
      </c>
      <c r="D92" s="7" t="s">
        <v>222</v>
      </c>
      <c r="E92" s="7" t="s">
        <v>39</v>
      </c>
      <c r="F92" s="6" t="s">
        <v>186</v>
      </c>
      <c r="G92" s="7" t="str">
        <f>+VLOOKUP(E92,Summary!$E$3:$F$47,2,0)</f>
        <v>INE090A01021</v>
      </c>
      <c r="H92" s="8">
        <v>46141</v>
      </c>
      <c r="I92" s="7" t="s">
        <v>195</v>
      </c>
      <c r="J92" s="9">
        <v>17</v>
      </c>
      <c r="K92" s="9">
        <v>1286.7624000000001</v>
      </c>
      <c r="L92" s="9">
        <v>21885.9</v>
      </c>
    </row>
    <row r="93" spans="1:12" x14ac:dyDescent="0.35">
      <c r="A93" s="6" t="s">
        <v>10</v>
      </c>
      <c r="B93" s="6" t="s">
        <v>211</v>
      </c>
      <c r="C93" s="7" t="s">
        <v>210</v>
      </c>
      <c r="D93" s="7" t="s">
        <v>222</v>
      </c>
      <c r="E93" s="7" t="s">
        <v>45</v>
      </c>
      <c r="F93" s="6" t="s">
        <v>186</v>
      </c>
      <c r="G93" s="7" t="str">
        <f>+VLOOKUP(E93,Summary!$E$3:$F$47,2,0)</f>
        <v>INE018A01030</v>
      </c>
      <c r="H93" s="8">
        <v>46141</v>
      </c>
      <c r="I93" s="7" t="s">
        <v>195</v>
      </c>
      <c r="J93" s="9">
        <v>27</v>
      </c>
      <c r="K93" s="9">
        <v>4113.7259000000004</v>
      </c>
      <c r="L93" s="9">
        <v>111126.14</v>
      </c>
    </row>
    <row r="94" spans="1:12" x14ac:dyDescent="0.35">
      <c r="A94" s="6" t="s">
        <v>10</v>
      </c>
      <c r="B94" s="6" t="s">
        <v>211</v>
      </c>
      <c r="C94" s="7" t="s">
        <v>210</v>
      </c>
      <c r="D94" s="7" t="s">
        <v>222</v>
      </c>
      <c r="E94" s="7" t="s">
        <v>49</v>
      </c>
      <c r="F94" s="6" t="s">
        <v>186</v>
      </c>
      <c r="G94" s="7" t="str">
        <f>+VLOOKUP(E94,Summary!$E$3:$F$47,2,0)</f>
        <v>INE214T01019</v>
      </c>
      <c r="H94" s="8">
        <v>46141</v>
      </c>
      <c r="I94" s="7" t="s">
        <v>195</v>
      </c>
      <c r="J94" s="9">
        <v>1</v>
      </c>
      <c r="K94" s="9">
        <v>4328</v>
      </c>
      <c r="L94" s="9">
        <v>4330.16</v>
      </c>
    </row>
    <row r="95" spans="1:12" x14ac:dyDescent="0.35">
      <c r="A95" s="6" t="s">
        <v>10</v>
      </c>
      <c r="B95" s="6" t="s">
        <v>211</v>
      </c>
      <c r="C95" s="7" t="s">
        <v>210</v>
      </c>
      <c r="D95" s="7" t="s">
        <v>222</v>
      </c>
      <c r="E95" s="7" t="s">
        <v>19</v>
      </c>
      <c r="F95" s="6" t="s">
        <v>186</v>
      </c>
      <c r="G95" s="7" t="str">
        <f>+VLOOKUP(E95,Summary!$E$3:$F$47,2,0)</f>
        <v>INE180A01020</v>
      </c>
      <c r="H95" s="8">
        <v>46141</v>
      </c>
      <c r="I95" s="7" t="s">
        <v>195</v>
      </c>
      <c r="J95" s="9">
        <v>50</v>
      </c>
      <c r="K95" s="9">
        <v>1607.8055999999999</v>
      </c>
      <c r="L95" s="9">
        <v>80430.47</v>
      </c>
    </row>
    <row r="96" spans="1:12" x14ac:dyDescent="0.35">
      <c r="A96" s="6" t="s">
        <v>10</v>
      </c>
      <c r="B96" s="6" t="s">
        <v>211</v>
      </c>
      <c r="C96" s="7" t="s">
        <v>210</v>
      </c>
      <c r="D96" s="7" t="s">
        <v>222</v>
      </c>
      <c r="E96" s="7" t="s">
        <v>199</v>
      </c>
      <c r="F96" s="6" t="s">
        <v>186</v>
      </c>
      <c r="G96" s="7" t="s">
        <v>229</v>
      </c>
      <c r="H96" s="8">
        <v>46141</v>
      </c>
      <c r="I96" s="7" t="s">
        <v>195</v>
      </c>
      <c r="J96" s="9">
        <v>117</v>
      </c>
      <c r="K96" s="9">
        <v>1395.8107</v>
      </c>
      <c r="L96" s="9">
        <v>163391.5</v>
      </c>
    </row>
    <row r="97" spans="1:12" x14ac:dyDescent="0.35">
      <c r="A97" s="6" t="s">
        <v>10</v>
      </c>
      <c r="B97" s="6" t="s">
        <v>211</v>
      </c>
      <c r="C97" s="7" t="s">
        <v>210</v>
      </c>
      <c r="D97" s="7" t="s">
        <v>222</v>
      </c>
      <c r="E97" s="7" t="s">
        <v>203</v>
      </c>
      <c r="F97" s="6" t="s">
        <v>186</v>
      </c>
      <c r="G97" s="7" t="s">
        <v>230</v>
      </c>
      <c r="H97" s="8">
        <v>46141</v>
      </c>
      <c r="I97" s="7" t="s">
        <v>195</v>
      </c>
      <c r="J97" s="9">
        <v>41</v>
      </c>
      <c r="K97" s="9">
        <v>111.90389999999999</v>
      </c>
      <c r="L97" s="9">
        <v>4590.3500000000004</v>
      </c>
    </row>
    <row r="98" spans="1:12" x14ac:dyDescent="0.35">
      <c r="A98" s="6" t="s">
        <v>10</v>
      </c>
      <c r="B98" s="6" t="s">
        <v>211</v>
      </c>
      <c r="C98" s="7" t="s">
        <v>210</v>
      </c>
      <c r="D98" s="7" t="s">
        <v>222</v>
      </c>
      <c r="E98" s="7" t="s">
        <v>61</v>
      </c>
      <c r="F98" s="6" t="s">
        <v>186</v>
      </c>
      <c r="G98" s="7" t="str">
        <f>+VLOOKUP(E98,Summary!$E$3:$F$47,2,0)</f>
        <v>INE1TAE01010</v>
      </c>
      <c r="H98" s="8">
        <v>46141</v>
      </c>
      <c r="I98" s="7" t="s">
        <v>195</v>
      </c>
      <c r="J98" s="9">
        <v>35</v>
      </c>
      <c r="K98" s="9">
        <v>417.5806</v>
      </c>
      <c r="L98" s="9">
        <v>14622.63</v>
      </c>
    </row>
    <row r="99" spans="1:12" x14ac:dyDescent="0.35">
      <c r="A99" s="6" t="s">
        <v>10</v>
      </c>
      <c r="B99" s="6" t="s">
        <v>211</v>
      </c>
      <c r="C99" s="7" t="s">
        <v>210</v>
      </c>
      <c r="D99" s="7" t="s">
        <v>222</v>
      </c>
      <c r="E99" s="7" t="s">
        <v>67</v>
      </c>
      <c r="F99" s="6" t="s">
        <v>186</v>
      </c>
      <c r="G99" s="7" t="str">
        <f>+VLOOKUP(E99,Summary!$E$3:$F$47,2,0)</f>
        <v>INE669C01036</v>
      </c>
      <c r="H99" s="8">
        <v>46141</v>
      </c>
      <c r="I99" s="7" t="s">
        <v>195</v>
      </c>
      <c r="J99" s="9">
        <v>5</v>
      </c>
      <c r="K99" s="9">
        <v>1459.482</v>
      </c>
      <c r="L99" s="9">
        <v>7301.06</v>
      </c>
    </row>
    <row r="100" spans="1:12" x14ac:dyDescent="0.35">
      <c r="A100" s="6" t="s">
        <v>10</v>
      </c>
      <c r="B100" s="6" t="s">
        <v>211</v>
      </c>
      <c r="C100" s="7" t="s">
        <v>210</v>
      </c>
      <c r="D100" s="7" t="s">
        <v>222</v>
      </c>
      <c r="E100" s="7" t="s">
        <v>200</v>
      </c>
      <c r="F100" s="6" t="s">
        <v>186</v>
      </c>
      <c r="G100" s="7" t="s">
        <v>226</v>
      </c>
      <c r="H100" s="8">
        <v>46140</v>
      </c>
      <c r="I100" s="7" t="s">
        <v>195</v>
      </c>
      <c r="J100" s="9">
        <v>242</v>
      </c>
      <c r="K100" s="9">
        <v>180.23859999999999</v>
      </c>
      <c r="L100" s="9">
        <v>43639.54</v>
      </c>
    </row>
    <row r="101" spans="1:12" x14ac:dyDescent="0.35">
      <c r="A101" s="6" t="s">
        <v>10</v>
      </c>
      <c r="B101" s="6" t="s">
        <v>211</v>
      </c>
      <c r="C101" s="7" t="s">
        <v>210</v>
      </c>
      <c r="D101" s="7" t="s">
        <v>222</v>
      </c>
      <c r="E101" s="7" t="s">
        <v>15</v>
      </c>
      <c r="F101" s="6" t="s">
        <v>186</v>
      </c>
      <c r="G101" s="7" t="str">
        <f>+VLOOKUP(E101,Summary!$E$3:$F$47,2,0)</f>
        <v>INE476A01022</v>
      </c>
      <c r="H101" s="8">
        <v>46140</v>
      </c>
      <c r="I101" s="7" t="s">
        <v>195</v>
      </c>
      <c r="J101" s="9">
        <v>1198</v>
      </c>
      <c r="K101" s="9">
        <v>137.16149999999999</v>
      </c>
      <c r="L101" s="9">
        <v>164401.54</v>
      </c>
    </row>
    <row r="102" spans="1:12" x14ac:dyDescent="0.35">
      <c r="A102" s="6" t="s">
        <v>10</v>
      </c>
      <c r="B102" s="6" t="s">
        <v>211</v>
      </c>
      <c r="C102" s="7" t="s">
        <v>210</v>
      </c>
      <c r="D102" s="7" t="s">
        <v>222</v>
      </c>
      <c r="E102" s="7" t="s">
        <v>45</v>
      </c>
      <c r="F102" s="6" t="s">
        <v>186</v>
      </c>
      <c r="G102" s="7" t="str">
        <f>+VLOOKUP(E102,Summary!$E$3:$F$47,2,0)</f>
        <v>INE018A01030</v>
      </c>
      <c r="H102" s="8">
        <v>46140</v>
      </c>
      <c r="I102" s="7" t="s">
        <v>195</v>
      </c>
      <c r="J102" s="9">
        <v>55</v>
      </c>
      <c r="K102" s="9">
        <v>4036.8784000000001</v>
      </c>
      <c r="L102" s="9">
        <v>222139.32</v>
      </c>
    </row>
    <row r="103" spans="1:12" x14ac:dyDescent="0.35">
      <c r="A103" s="6" t="s">
        <v>10</v>
      </c>
      <c r="B103" s="6" t="s">
        <v>211</v>
      </c>
      <c r="C103" s="7" t="s">
        <v>210</v>
      </c>
      <c r="D103" s="7" t="s">
        <v>222</v>
      </c>
      <c r="E103" s="7" t="s">
        <v>19</v>
      </c>
      <c r="F103" s="6" t="s">
        <v>186</v>
      </c>
      <c r="G103" s="7" t="str">
        <f>+VLOOKUP(E103,Summary!$E$3:$F$47,2,0)</f>
        <v>INE180A01020</v>
      </c>
      <c r="H103" s="8">
        <v>46140</v>
      </c>
      <c r="I103" s="7" t="s">
        <v>195</v>
      </c>
      <c r="J103" s="9">
        <v>104</v>
      </c>
      <c r="K103" s="9">
        <v>1611.3234</v>
      </c>
      <c r="L103" s="9">
        <v>167661.41</v>
      </c>
    </row>
    <row r="104" spans="1:12" x14ac:dyDescent="0.35">
      <c r="A104" s="6" t="s">
        <v>10</v>
      </c>
      <c r="B104" s="6" t="s">
        <v>211</v>
      </c>
      <c r="C104" s="7" t="s">
        <v>210</v>
      </c>
      <c r="D104" s="7" t="s">
        <v>222</v>
      </c>
      <c r="E104" s="7" t="s">
        <v>21</v>
      </c>
      <c r="F104" s="6" t="s">
        <v>186</v>
      </c>
      <c r="G104" s="7" t="str">
        <f>+VLOOKUP(E104,Summary!$E$3:$F$47,2,0)</f>
        <v>INE982J01020</v>
      </c>
      <c r="H104" s="8">
        <v>46140</v>
      </c>
      <c r="I104" s="7" t="s">
        <v>195</v>
      </c>
      <c r="J104" s="9">
        <v>36</v>
      </c>
      <c r="K104" s="9">
        <v>1131.3611000000001</v>
      </c>
      <c r="L104" s="9">
        <v>40749.370000000003</v>
      </c>
    </row>
    <row r="105" spans="1:12" x14ac:dyDescent="0.35">
      <c r="A105" s="6" t="s">
        <v>10</v>
      </c>
      <c r="B105" s="6" t="s">
        <v>211</v>
      </c>
      <c r="C105" s="7" t="s">
        <v>210</v>
      </c>
      <c r="D105" s="7" t="s">
        <v>222</v>
      </c>
      <c r="E105" s="7" t="s">
        <v>200</v>
      </c>
      <c r="F105" s="6" t="s">
        <v>186</v>
      </c>
      <c r="G105" s="7" t="s">
        <v>226</v>
      </c>
      <c r="H105" s="8">
        <v>46139</v>
      </c>
      <c r="I105" s="7" t="s">
        <v>195</v>
      </c>
      <c r="J105" s="9">
        <v>557</v>
      </c>
      <c r="K105" s="9">
        <v>180.25559999999999</v>
      </c>
      <c r="L105" s="9">
        <v>100452.56</v>
      </c>
    </row>
    <row r="106" spans="1:12" x14ac:dyDescent="0.35">
      <c r="A106" s="6" t="s">
        <v>10</v>
      </c>
      <c r="B106" s="6" t="s">
        <v>211</v>
      </c>
      <c r="C106" s="7" t="s">
        <v>210</v>
      </c>
      <c r="D106" s="7" t="s">
        <v>222</v>
      </c>
      <c r="E106" s="7" t="s">
        <v>15</v>
      </c>
      <c r="F106" s="6" t="s">
        <v>186</v>
      </c>
      <c r="G106" s="7" t="str">
        <f>+VLOOKUP(E106,Summary!$E$3:$F$47,2,0)</f>
        <v>INE476A01022</v>
      </c>
      <c r="H106" s="8">
        <v>46139</v>
      </c>
      <c r="I106" s="7" t="s">
        <v>195</v>
      </c>
      <c r="J106" s="9">
        <v>785</v>
      </c>
      <c r="K106" s="9">
        <v>140.68350000000001</v>
      </c>
      <c r="L106" s="9">
        <v>110491.74</v>
      </c>
    </row>
    <row r="107" spans="1:12" x14ac:dyDescent="0.35">
      <c r="A107" s="6" t="s">
        <v>10</v>
      </c>
      <c r="B107" s="6" t="s">
        <v>211</v>
      </c>
      <c r="C107" s="7" t="s">
        <v>210</v>
      </c>
      <c r="D107" s="7" t="s">
        <v>222</v>
      </c>
      <c r="E107" s="7" t="s">
        <v>35</v>
      </c>
      <c r="F107" s="6" t="s">
        <v>186</v>
      </c>
      <c r="G107" s="7" t="str">
        <f>+VLOOKUP(E107,Summary!$E$3:$F$47,2,0)</f>
        <v>INE913H01037</v>
      </c>
      <c r="H107" s="8">
        <v>46139</v>
      </c>
      <c r="I107" s="7" t="s">
        <v>195</v>
      </c>
      <c r="J107" s="9">
        <v>24</v>
      </c>
      <c r="K107" s="9">
        <v>2394.5075000000002</v>
      </c>
      <c r="L107" s="9">
        <v>57496.91</v>
      </c>
    </row>
    <row r="108" spans="1:12" x14ac:dyDescent="0.35">
      <c r="A108" s="6" t="s">
        <v>10</v>
      </c>
      <c r="B108" s="6" t="s">
        <v>211</v>
      </c>
      <c r="C108" s="7" t="s">
        <v>210</v>
      </c>
      <c r="D108" s="7" t="s">
        <v>222</v>
      </c>
      <c r="E108" s="7" t="s">
        <v>45</v>
      </c>
      <c r="F108" s="6" t="s">
        <v>186</v>
      </c>
      <c r="G108" s="7" t="str">
        <f>+VLOOKUP(E108,Summary!$E$3:$F$47,2,0)</f>
        <v>INE018A01030</v>
      </c>
      <c r="H108" s="8">
        <v>46139</v>
      </c>
      <c r="I108" s="7" t="s">
        <v>195</v>
      </c>
      <c r="J108" s="9">
        <v>36</v>
      </c>
      <c r="K108" s="9">
        <v>4082.3946999999998</v>
      </c>
      <c r="L108" s="9">
        <v>147039.69</v>
      </c>
    </row>
    <row r="109" spans="1:12" x14ac:dyDescent="0.35">
      <c r="A109" s="6" t="s">
        <v>10</v>
      </c>
      <c r="B109" s="6" t="s">
        <v>211</v>
      </c>
      <c r="C109" s="7" t="s">
        <v>210</v>
      </c>
      <c r="D109" s="7" t="s">
        <v>222</v>
      </c>
      <c r="E109" s="7" t="s">
        <v>19</v>
      </c>
      <c r="F109" s="6" t="s">
        <v>186</v>
      </c>
      <c r="G109" s="7" t="str">
        <f>+VLOOKUP(E109,Summary!$E$3:$F$47,2,0)</f>
        <v>INE180A01020</v>
      </c>
      <c r="H109" s="8">
        <v>46139</v>
      </c>
      <c r="I109" s="7" t="s">
        <v>195</v>
      </c>
      <c r="J109" s="9">
        <v>69</v>
      </c>
      <c r="K109" s="9">
        <v>1593.9384</v>
      </c>
      <c r="L109" s="9">
        <v>110036.74</v>
      </c>
    </row>
    <row r="110" spans="1:12" x14ac:dyDescent="0.35">
      <c r="A110" s="6" t="s">
        <v>10</v>
      </c>
      <c r="B110" s="6" t="s">
        <v>211</v>
      </c>
      <c r="C110" s="7" t="s">
        <v>210</v>
      </c>
      <c r="D110" s="7" t="s">
        <v>222</v>
      </c>
      <c r="E110" s="7" t="s">
        <v>21</v>
      </c>
      <c r="F110" s="6" t="s">
        <v>186</v>
      </c>
      <c r="G110" s="7" t="str">
        <f>+VLOOKUP(E110,Summary!$E$3:$F$47,2,0)</f>
        <v>INE982J01020</v>
      </c>
      <c r="H110" s="8">
        <v>46139</v>
      </c>
      <c r="I110" s="7" t="s">
        <v>195</v>
      </c>
      <c r="J110" s="9">
        <v>511</v>
      </c>
      <c r="K110" s="9">
        <v>1089.6882000000001</v>
      </c>
      <c r="L110" s="9">
        <v>557109.11</v>
      </c>
    </row>
    <row r="111" spans="1:12" x14ac:dyDescent="0.35">
      <c r="A111" s="6" t="s">
        <v>10</v>
      </c>
      <c r="B111" s="6" t="s">
        <v>211</v>
      </c>
      <c r="C111" s="7" t="s">
        <v>210</v>
      </c>
      <c r="D111" s="7" t="s">
        <v>222</v>
      </c>
      <c r="E111" s="7" t="s">
        <v>200</v>
      </c>
      <c r="F111" s="6" t="s">
        <v>186</v>
      </c>
      <c r="G111" s="7" t="s">
        <v>226</v>
      </c>
      <c r="H111" s="8">
        <v>46136</v>
      </c>
      <c r="I111" s="7" t="s">
        <v>195</v>
      </c>
      <c r="J111" s="9">
        <v>1143</v>
      </c>
      <c r="K111" s="9">
        <v>174.68809999999999</v>
      </c>
      <c r="L111" s="9">
        <v>199768.28</v>
      </c>
    </row>
    <row r="112" spans="1:12" x14ac:dyDescent="0.35">
      <c r="A112" s="6" t="s">
        <v>10</v>
      </c>
      <c r="B112" s="6" t="s">
        <v>211</v>
      </c>
      <c r="C112" s="7" t="s">
        <v>210</v>
      </c>
      <c r="D112" s="7" t="s">
        <v>222</v>
      </c>
      <c r="E112" s="7" t="s">
        <v>15</v>
      </c>
      <c r="F112" s="6" t="s">
        <v>186</v>
      </c>
      <c r="G112" s="7" t="str">
        <f>+VLOOKUP(E112,Summary!$E$3:$F$47,2,0)</f>
        <v>INE476A01022</v>
      </c>
      <c r="H112" s="8">
        <v>46136</v>
      </c>
      <c r="I112" s="7" t="s">
        <v>195</v>
      </c>
      <c r="J112" s="9">
        <v>1059</v>
      </c>
      <c r="K112" s="9">
        <v>140.858</v>
      </c>
      <c r="L112" s="9">
        <v>149243.17000000001</v>
      </c>
    </row>
    <row r="113" spans="1:12" x14ac:dyDescent="0.35">
      <c r="A113" s="6" t="s">
        <v>10</v>
      </c>
      <c r="B113" s="6" t="s">
        <v>211</v>
      </c>
      <c r="C113" s="7" t="s">
        <v>210</v>
      </c>
      <c r="D113" s="7" t="s">
        <v>222</v>
      </c>
      <c r="E113" s="7" t="s">
        <v>35</v>
      </c>
      <c r="F113" s="6" t="s">
        <v>186</v>
      </c>
      <c r="G113" s="7" t="str">
        <f>+VLOOKUP(E113,Summary!$E$3:$F$47,2,0)</f>
        <v>INE913H01037</v>
      </c>
      <c r="H113" s="8">
        <v>46136</v>
      </c>
      <c r="I113" s="7" t="s">
        <v>195</v>
      </c>
      <c r="J113" s="9">
        <v>41</v>
      </c>
      <c r="K113" s="9">
        <v>2322.5104999999999</v>
      </c>
      <c r="L113" s="9">
        <v>95270.54</v>
      </c>
    </row>
    <row r="114" spans="1:12" x14ac:dyDescent="0.35">
      <c r="A114" s="6" t="s">
        <v>10</v>
      </c>
      <c r="B114" s="6" t="s">
        <v>211</v>
      </c>
      <c r="C114" s="7" t="s">
        <v>210</v>
      </c>
      <c r="D114" s="7" t="s">
        <v>222</v>
      </c>
      <c r="E114" s="7" t="s">
        <v>45</v>
      </c>
      <c r="F114" s="6" t="s">
        <v>186</v>
      </c>
      <c r="G114" s="7" t="str">
        <f>+VLOOKUP(E114,Summary!$E$3:$F$47,2,0)</f>
        <v>INE018A01030</v>
      </c>
      <c r="H114" s="8">
        <v>46136</v>
      </c>
      <c r="I114" s="7" t="s">
        <v>195</v>
      </c>
      <c r="J114" s="9">
        <v>49</v>
      </c>
      <c r="K114" s="9">
        <v>4014.5711999999999</v>
      </c>
      <c r="L114" s="9">
        <v>196812.34</v>
      </c>
    </row>
    <row r="115" spans="1:12" x14ac:dyDescent="0.35">
      <c r="A115" s="6" t="s">
        <v>10</v>
      </c>
      <c r="B115" s="6" t="s">
        <v>211</v>
      </c>
      <c r="C115" s="7" t="s">
        <v>210</v>
      </c>
      <c r="D115" s="7" t="s">
        <v>222</v>
      </c>
      <c r="E115" s="7" t="s">
        <v>19</v>
      </c>
      <c r="F115" s="6" t="s">
        <v>186</v>
      </c>
      <c r="G115" s="7" t="str">
        <f>+VLOOKUP(E115,Summary!$E$3:$F$47,2,0)</f>
        <v>INE180A01020</v>
      </c>
      <c r="H115" s="8">
        <v>46136</v>
      </c>
      <c r="I115" s="7" t="s">
        <v>195</v>
      </c>
      <c r="J115" s="9">
        <v>93</v>
      </c>
      <c r="K115" s="9">
        <v>1588.8576</v>
      </c>
      <c r="L115" s="9">
        <v>147837.64000000001</v>
      </c>
    </row>
    <row r="116" spans="1:12" x14ac:dyDescent="0.35">
      <c r="A116" s="6" t="s">
        <v>10</v>
      </c>
      <c r="B116" s="6" t="s">
        <v>211</v>
      </c>
      <c r="C116" s="7" t="s">
        <v>210</v>
      </c>
      <c r="D116" s="7" t="s">
        <v>222</v>
      </c>
      <c r="E116" s="7" t="s">
        <v>21</v>
      </c>
      <c r="F116" s="6" t="s">
        <v>186</v>
      </c>
      <c r="G116" s="7" t="str">
        <f>+VLOOKUP(E116,Summary!$E$3:$F$47,2,0)</f>
        <v>INE982J01020</v>
      </c>
      <c r="H116" s="8">
        <v>46136</v>
      </c>
      <c r="I116" s="7" t="s">
        <v>195</v>
      </c>
      <c r="J116" s="9">
        <v>171</v>
      </c>
      <c r="K116" s="9">
        <v>1147.0614</v>
      </c>
      <c r="L116" s="9">
        <v>196245.58</v>
      </c>
    </row>
    <row r="117" spans="1:12" x14ac:dyDescent="0.35">
      <c r="A117" s="6" t="s">
        <v>10</v>
      </c>
      <c r="B117" s="6" t="s">
        <v>211</v>
      </c>
      <c r="C117" s="7" t="s">
        <v>210</v>
      </c>
      <c r="D117" s="7" t="s">
        <v>222</v>
      </c>
      <c r="E117" s="7" t="s">
        <v>35</v>
      </c>
      <c r="F117" s="6" t="s">
        <v>186</v>
      </c>
      <c r="G117" s="7" t="str">
        <f>+VLOOKUP(E117,Summary!$E$3:$F$47,2,0)</f>
        <v>INE913H01037</v>
      </c>
      <c r="H117" s="8">
        <v>46135</v>
      </c>
      <c r="I117" s="7" t="s">
        <v>195</v>
      </c>
      <c r="J117" s="9">
        <v>83</v>
      </c>
      <c r="K117" s="9">
        <v>2389.7763</v>
      </c>
      <c r="L117" s="9">
        <v>198450.61</v>
      </c>
    </row>
    <row r="118" spans="1:12" x14ac:dyDescent="0.35">
      <c r="A118" s="6" t="s">
        <v>10</v>
      </c>
      <c r="B118" s="6" t="s">
        <v>211</v>
      </c>
      <c r="C118" s="7" t="s">
        <v>210</v>
      </c>
      <c r="D118" s="7" t="s">
        <v>222</v>
      </c>
      <c r="E118" s="7" t="s">
        <v>49</v>
      </c>
      <c r="F118" s="6" t="s">
        <v>186</v>
      </c>
      <c r="G118" s="7" t="str">
        <f>+VLOOKUP(E118,Summary!$E$3:$F$47,2,0)</f>
        <v>INE214T01019</v>
      </c>
      <c r="H118" s="8">
        <v>46135</v>
      </c>
      <c r="I118" s="7" t="s">
        <v>195</v>
      </c>
      <c r="J118" s="9">
        <v>43</v>
      </c>
      <c r="K118" s="9">
        <v>4558.9907000000003</v>
      </c>
      <c r="L118" s="9">
        <v>196134.62</v>
      </c>
    </row>
    <row r="119" spans="1:12" x14ac:dyDescent="0.35">
      <c r="A119" s="6" t="s">
        <v>10</v>
      </c>
      <c r="B119" s="6" t="s">
        <v>211</v>
      </c>
      <c r="C119" s="7" t="s">
        <v>210</v>
      </c>
      <c r="D119" s="7" t="s">
        <v>222</v>
      </c>
      <c r="E119" s="7" t="s">
        <v>199</v>
      </c>
      <c r="F119" s="6" t="s">
        <v>186</v>
      </c>
      <c r="G119" s="7" t="s">
        <v>229</v>
      </c>
      <c r="H119" s="8">
        <v>46135</v>
      </c>
      <c r="I119" s="7" t="s">
        <v>195</v>
      </c>
      <c r="J119" s="9">
        <v>309</v>
      </c>
      <c r="K119" s="9">
        <v>1401.4248</v>
      </c>
      <c r="L119" s="9">
        <v>433256.78</v>
      </c>
    </row>
    <row r="120" spans="1:12" x14ac:dyDescent="0.35">
      <c r="A120" s="6" t="s">
        <v>10</v>
      </c>
      <c r="B120" s="6" t="s">
        <v>211</v>
      </c>
      <c r="C120" s="7" t="s">
        <v>210</v>
      </c>
      <c r="D120" s="7" t="s">
        <v>222</v>
      </c>
      <c r="E120" s="7" t="s">
        <v>67</v>
      </c>
      <c r="F120" s="6" t="s">
        <v>186</v>
      </c>
      <c r="G120" s="7" t="str">
        <f>+VLOOKUP(E120,Summary!$E$3:$F$47,2,0)</f>
        <v>INE669C01036</v>
      </c>
      <c r="H120" s="8">
        <v>46135</v>
      </c>
      <c r="I120" s="7" t="s">
        <v>195</v>
      </c>
      <c r="J120" s="9">
        <v>192</v>
      </c>
      <c r="K120" s="9">
        <v>1425.6744000000001</v>
      </c>
      <c r="L120" s="9">
        <v>273866.34000000003</v>
      </c>
    </row>
    <row r="121" spans="1:12" x14ac:dyDescent="0.35">
      <c r="A121" s="6" t="s">
        <v>10</v>
      </c>
      <c r="B121" s="6" t="s">
        <v>211</v>
      </c>
      <c r="C121" s="7" t="s">
        <v>210</v>
      </c>
      <c r="D121" s="7" t="s">
        <v>222</v>
      </c>
      <c r="E121" s="7" t="s">
        <v>23</v>
      </c>
      <c r="F121" s="6" t="s">
        <v>186</v>
      </c>
      <c r="G121" s="7" t="str">
        <f>+VLOOKUP(E121,Summary!$E$3:$F$47,2,0)</f>
        <v>INE674K01013</v>
      </c>
      <c r="H121" s="8">
        <v>46134</v>
      </c>
      <c r="I121" s="7" t="s">
        <v>195</v>
      </c>
      <c r="J121" s="9">
        <v>5803</v>
      </c>
      <c r="K121" s="9">
        <v>349.93560000000002</v>
      </c>
      <c r="L121" s="9">
        <v>2031691.23</v>
      </c>
    </row>
    <row r="122" spans="1:12" x14ac:dyDescent="0.35">
      <c r="A122" s="6" t="s">
        <v>10</v>
      </c>
      <c r="B122" s="6" t="s">
        <v>211</v>
      </c>
      <c r="C122" s="7" t="s">
        <v>210</v>
      </c>
      <c r="D122" s="7" t="s">
        <v>222</v>
      </c>
      <c r="E122" s="7" t="s">
        <v>25</v>
      </c>
      <c r="F122" s="6" t="s">
        <v>186</v>
      </c>
      <c r="G122" s="7" t="str">
        <f>+VLOOKUP(E122,Summary!$E$3:$F$47,2,0)</f>
        <v>INE406A01037</v>
      </c>
      <c r="H122" s="8">
        <v>46134</v>
      </c>
      <c r="I122" s="7" t="s">
        <v>195</v>
      </c>
      <c r="J122" s="9">
        <v>431</v>
      </c>
      <c r="K122" s="9">
        <v>1406.8520000000001</v>
      </c>
      <c r="L122" s="9">
        <v>606656.38</v>
      </c>
    </row>
    <row r="123" spans="1:12" x14ac:dyDescent="0.35">
      <c r="A123" s="6" t="s">
        <v>10</v>
      </c>
      <c r="B123" s="6" t="s">
        <v>211</v>
      </c>
      <c r="C123" s="7" t="s">
        <v>210</v>
      </c>
      <c r="D123" s="7" t="s">
        <v>222</v>
      </c>
      <c r="E123" s="7" t="s">
        <v>29</v>
      </c>
      <c r="F123" s="6" t="s">
        <v>186</v>
      </c>
      <c r="G123" s="7" t="str">
        <f>+VLOOKUP(E123,Summary!$E$3:$F$47,2,0)</f>
        <v>INE376G01013</v>
      </c>
      <c r="H123" s="8">
        <v>46134</v>
      </c>
      <c r="I123" s="7" t="s">
        <v>195</v>
      </c>
      <c r="J123" s="9">
        <v>4038</v>
      </c>
      <c r="K123" s="9">
        <v>358.10509999999999</v>
      </c>
      <c r="L123" s="9">
        <v>1446751.19</v>
      </c>
    </row>
    <row r="124" spans="1:12" x14ac:dyDescent="0.35">
      <c r="A124" s="6" t="s">
        <v>10</v>
      </c>
      <c r="B124" s="6" t="s">
        <v>211</v>
      </c>
      <c r="C124" s="7" t="s">
        <v>210</v>
      </c>
      <c r="D124" s="7" t="s">
        <v>222</v>
      </c>
      <c r="E124" s="7" t="s">
        <v>35</v>
      </c>
      <c r="F124" s="6" t="s">
        <v>186</v>
      </c>
      <c r="G124" s="7" t="str">
        <f>+VLOOKUP(E124,Summary!$E$3:$F$47,2,0)</f>
        <v>INE913H01037</v>
      </c>
      <c r="H124" s="8">
        <v>46134</v>
      </c>
      <c r="I124" s="7" t="s">
        <v>195</v>
      </c>
      <c r="J124" s="9">
        <v>167</v>
      </c>
      <c r="K124" s="9">
        <v>2409.0679</v>
      </c>
      <c r="L124" s="9">
        <v>402515.49</v>
      </c>
    </row>
    <row r="125" spans="1:12" x14ac:dyDescent="0.35">
      <c r="A125" s="6" t="s">
        <v>10</v>
      </c>
      <c r="B125" s="6" t="s">
        <v>211</v>
      </c>
      <c r="C125" s="7" t="s">
        <v>210</v>
      </c>
      <c r="D125" s="7" t="s">
        <v>222</v>
      </c>
      <c r="E125" s="7" t="s">
        <v>39</v>
      </c>
      <c r="F125" s="6" t="s">
        <v>186</v>
      </c>
      <c r="G125" s="7" t="str">
        <f>+VLOOKUP(E125,Summary!$E$3:$F$47,2,0)</f>
        <v>INE090A01021</v>
      </c>
      <c r="H125" s="8">
        <v>46134</v>
      </c>
      <c r="I125" s="7" t="s">
        <v>195</v>
      </c>
      <c r="J125" s="9">
        <v>576</v>
      </c>
      <c r="K125" s="9">
        <v>1370.6939</v>
      </c>
      <c r="L125" s="9">
        <v>789914.42</v>
      </c>
    </row>
    <row r="126" spans="1:12" x14ac:dyDescent="0.35">
      <c r="A126" s="6" t="s">
        <v>10</v>
      </c>
      <c r="B126" s="6" t="s">
        <v>211</v>
      </c>
      <c r="C126" s="7" t="s">
        <v>210</v>
      </c>
      <c r="D126" s="7" t="s">
        <v>222</v>
      </c>
      <c r="E126" s="7" t="s">
        <v>47</v>
      </c>
      <c r="F126" s="6" t="s">
        <v>186</v>
      </c>
      <c r="G126" s="7" t="str">
        <f>+VLOOKUP(E126,Summary!$E$3:$F$47,2,0)</f>
        <v>INE324D01010</v>
      </c>
      <c r="H126" s="8">
        <v>46134</v>
      </c>
      <c r="I126" s="7" t="s">
        <v>195</v>
      </c>
      <c r="J126" s="9">
        <v>496</v>
      </c>
      <c r="K126" s="9">
        <v>1619.6189999999999</v>
      </c>
      <c r="L126" s="9">
        <v>803732.68</v>
      </c>
    </row>
    <row r="127" spans="1:12" x14ac:dyDescent="0.35">
      <c r="A127" s="6" t="s">
        <v>10</v>
      </c>
      <c r="B127" s="6" t="s">
        <v>211</v>
      </c>
      <c r="C127" s="7" t="s">
        <v>210</v>
      </c>
      <c r="D127" s="7" t="s">
        <v>222</v>
      </c>
      <c r="E127" s="7" t="s">
        <v>49</v>
      </c>
      <c r="F127" s="6" t="s">
        <v>186</v>
      </c>
      <c r="G127" s="7" t="str">
        <f>+VLOOKUP(E127,Summary!$E$3:$F$47,2,0)</f>
        <v>INE214T01019</v>
      </c>
      <c r="H127" s="8">
        <v>46134</v>
      </c>
      <c r="I127" s="7" t="s">
        <v>195</v>
      </c>
      <c r="J127" s="9">
        <v>39</v>
      </c>
      <c r="K127" s="9">
        <v>4566.5830999999998</v>
      </c>
      <c r="L127" s="9">
        <v>178185.79</v>
      </c>
    </row>
    <row r="128" spans="1:12" x14ac:dyDescent="0.35">
      <c r="A128" s="6" t="s">
        <v>10</v>
      </c>
      <c r="B128" s="6" t="s">
        <v>211</v>
      </c>
      <c r="C128" s="7" t="s">
        <v>210</v>
      </c>
      <c r="D128" s="7" t="s">
        <v>222</v>
      </c>
      <c r="E128" s="7" t="s">
        <v>197</v>
      </c>
      <c r="F128" s="6" t="s">
        <v>186</v>
      </c>
      <c r="G128" s="7" t="s">
        <v>228</v>
      </c>
      <c r="H128" s="8">
        <v>46134</v>
      </c>
      <c r="I128" s="7" t="s">
        <v>195</v>
      </c>
      <c r="J128" s="9">
        <v>44</v>
      </c>
      <c r="K128" s="9">
        <v>13401.4902</v>
      </c>
      <c r="L128" s="9">
        <v>589960.4</v>
      </c>
    </row>
    <row r="129" spans="1:12" x14ac:dyDescent="0.35">
      <c r="A129" s="6" t="s">
        <v>10</v>
      </c>
      <c r="B129" s="6" t="s">
        <v>211</v>
      </c>
      <c r="C129" s="7" t="s">
        <v>210</v>
      </c>
      <c r="D129" s="7" t="s">
        <v>222</v>
      </c>
      <c r="E129" s="7" t="s">
        <v>203</v>
      </c>
      <c r="F129" s="6" t="s">
        <v>186</v>
      </c>
      <c r="G129" s="7" t="s">
        <v>230</v>
      </c>
      <c r="H129" s="8">
        <v>46134</v>
      </c>
      <c r="I129" s="7" t="s">
        <v>195</v>
      </c>
      <c r="J129" s="9">
        <v>6484</v>
      </c>
      <c r="K129" s="9">
        <v>115.1495</v>
      </c>
      <c r="L129" s="9">
        <v>747002.19</v>
      </c>
    </row>
    <row r="130" spans="1:12" x14ac:dyDescent="0.35">
      <c r="A130" s="6" t="s">
        <v>10</v>
      </c>
      <c r="B130" s="6" t="s">
        <v>211</v>
      </c>
      <c r="C130" s="7" t="s">
        <v>210</v>
      </c>
      <c r="D130" s="7" t="s">
        <v>222</v>
      </c>
      <c r="E130" s="7" t="s">
        <v>57</v>
      </c>
      <c r="F130" s="6" t="s">
        <v>186</v>
      </c>
      <c r="G130" s="7" t="str">
        <f>+VLOOKUP(E130,Summary!$E$3:$F$47,2,0)</f>
        <v>INE575P01011</v>
      </c>
      <c r="H130" s="8">
        <v>46134</v>
      </c>
      <c r="I130" s="7" t="s">
        <v>195</v>
      </c>
      <c r="J130" s="9">
        <v>1556</v>
      </c>
      <c r="K130" s="9">
        <v>510.3818</v>
      </c>
      <c r="L130" s="9">
        <v>794551.02</v>
      </c>
    </row>
    <row r="131" spans="1:12" x14ac:dyDescent="0.35">
      <c r="A131" s="6" t="s">
        <v>10</v>
      </c>
      <c r="B131" s="6" t="s">
        <v>211</v>
      </c>
      <c r="C131" s="7" t="s">
        <v>210</v>
      </c>
      <c r="D131" s="7" t="s">
        <v>222</v>
      </c>
      <c r="E131" s="7" t="s">
        <v>61</v>
      </c>
      <c r="F131" s="6" t="s">
        <v>186</v>
      </c>
      <c r="G131" s="7" t="str">
        <f>+VLOOKUP(E131,Summary!$E$3:$F$47,2,0)</f>
        <v>INE1TAE01010</v>
      </c>
      <c r="H131" s="8">
        <v>46134</v>
      </c>
      <c r="I131" s="7" t="s">
        <v>195</v>
      </c>
      <c r="J131" s="9">
        <v>1581</v>
      </c>
      <c r="K131" s="9">
        <v>447.87810000000002</v>
      </c>
      <c r="L131" s="9">
        <v>708449.27</v>
      </c>
    </row>
    <row r="132" spans="1:12" x14ac:dyDescent="0.35">
      <c r="A132" s="6" t="s">
        <v>10</v>
      </c>
      <c r="B132" s="6" t="s">
        <v>211</v>
      </c>
      <c r="C132" s="7" t="s">
        <v>210</v>
      </c>
      <c r="D132" s="7" t="s">
        <v>222</v>
      </c>
      <c r="E132" s="7" t="s">
        <v>67</v>
      </c>
      <c r="F132" s="6" t="s">
        <v>186</v>
      </c>
      <c r="G132" s="7" t="str">
        <f>+VLOOKUP(E132,Summary!$E$3:$F$47,2,0)</f>
        <v>INE669C01036</v>
      </c>
      <c r="H132" s="8">
        <v>46134</v>
      </c>
      <c r="I132" s="7" t="s">
        <v>195</v>
      </c>
      <c r="J132" s="9">
        <v>183</v>
      </c>
      <c r="K132" s="9">
        <v>1413.924</v>
      </c>
      <c r="L132" s="9">
        <v>258877.45</v>
      </c>
    </row>
    <row r="133" spans="1:12" x14ac:dyDescent="0.35">
      <c r="A133" s="6" t="s">
        <v>10</v>
      </c>
      <c r="B133" s="6" t="s">
        <v>211</v>
      </c>
      <c r="C133" s="7" t="s">
        <v>210</v>
      </c>
      <c r="D133" s="7" t="s">
        <v>222</v>
      </c>
      <c r="E133" s="7" t="s">
        <v>202</v>
      </c>
      <c r="F133" s="6" t="s">
        <v>186</v>
      </c>
      <c r="G133" s="7" t="s">
        <v>231</v>
      </c>
      <c r="H133" s="8">
        <v>46134</v>
      </c>
      <c r="I133" s="7" t="s">
        <v>195</v>
      </c>
      <c r="J133" s="9">
        <v>513</v>
      </c>
      <c r="K133" s="9">
        <v>1392.6762000000001</v>
      </c>
      <c r="L133" s="9">
        <v>714800.09</v>
      </c>
    </row>
    <row r="134" spans="1:12" x14ac:dyDescent="0.35">
      <c r="A134" s="6" t="s">
        <v>10</v>
      </c>
      <c r="B134" s="7" t="s">
        <v>211</v>
      </c>
      <c r="C134" s="7" t="s">
        <v>111</v>
      </c>
      <c r="D134" s="7" t="s">
        <v>111</v>
      </c>
      <c r="E134" s="7" t="s">
        <v>99</v>
      </c>
      <c r="F134" s="7" t="s">
        <v>188</v>
      </c>
      <c r="G134" s="7" t="s">
        <v>100</v>
      </c>
      <c r="H134" s="8">
        <v>45979</v>
      </c>
      <c r="I134" s="7" t="s">
        <v>195</v>
      </c>
      <c r="J134" s="9">
        <v>17857</v>
      </c>
      <c r="K134" s="9">
        <v>279.85000000000002</v>
      </c>
      <c r="L134" s="9">
        <v>4997214.13</v>
      </c>
    </row>
    <row r="135" spans="1:12" x14ac:dyDescent="0.35">
      <c r="A135" s="6" t="s">
        <v>10</v>
      </c>
      <c r="B135" s="7" t="s">
        <v>211</v>
      </c>
      <c r="C135" s="7" t="s">
        <v>111</v>
      </c>
      <c r="D135" s="7" t="s">
        <v>111</v>
      </c>
      <c r="E135" s="7" t="s">
        <v>238</v>
      </c>
      <c r="F135" s="7" t="s">
        <v>188</v>
      </c>
      <c r="G135" s="7" t="s">
        <v>80</v>
      </c>
      <c r="H135" s="8">
        <v>44488</v>
      </c>
      <c r="I135" s="7" t="s">
        <v>195</v>
      </c>
      <c r="J135" s="9">
        <v>30750</v>
      </c>
      <c r="K135" s="9">
        <v>244.33</v>
      </c>
      <c r="L135" s="9">
        <v>7513088.4500000002</v>
      </c>
    </row>
    <row r="136" spans="1:12" x14ac:dyDescent="0.35">
      <c r="A136" s="6" t="s">
        <v>10</v>
      </c>
      <c r="B136" s="7" t="s">
        <v>211</v>
      </c>
      <c r="C136" s="7" t="s">
        <v>111</v>
      </c>
      <c r="D136" s="7" t="s">
        <v>111</v>
      </c>
      <c r="E136" s="7" t="s">
        <v>95</v>
      </c>
      <c r="F136" s="7" t="s">
        <v>188</v>
      </c>
      <c r="G136" s="7" t="s">
        <v>96</v>
      </c>
      <c r="H136" s="8">
        <v>44144</v>
      </c>
      <c r="I136" s="7" t="s">
        <v>195</v>
      </c>
      <c r="J136" s="9">
        <v>14450</v>
      </c>
      <c r="K136" s="9">
        <v>149.75</v>
      </c>
      <c r="L136" s="9">
        <v>2163840.3766999999</v>
      </c>
    </row>
    <row r="137" spans="1:12" x14ac:dyDescent="0.35">
      <c r="A137" s="6" t="s">
        <v>10</v>
      </c>
      <c r="B137" s="7" t="s">
        <v>211</v>
      </c>
      <c r="C137" s="7" t="s">
        <v>111</v>
      </c>
      <c r="D137" s="7" t="s">
        <v>111</v>
      </c>
      <c r="E137" s="7" t="s">
        <v>95</v>
      </c>
      <c r="F137" s="7" t="s">
        <v>188</v>
      </c>
      <c r="G137" s="7" t="s">
        <v>96</v>
      </c>
      <c r="H137" s="8">
        <v>44252</v>
      </c>
      <c r="I137" s="7" t="s">
        <v>195</v>
      </c>
      <c r="J137" s="9">
        <v>11900</v>
      </c>
      <c r="K137" s="9">
        <v>181.88</v>
      </c>
      <c r="L137" s="9">
        <v>2164349.2232999997</v>
      </c>
    </row>
    <row r="138" spans="1:12" x14ac:dyDescent="0.35">
      <c r="A138" s="6" t="s">
        <v>10</v>
      </c>
      <c r="B138" s="7" t="s">
        <v>211</v>
      </c>
      <c r="C138" s="7" t="s">
        <v>111</v>
      </c>
      <c r="D138" s="7" t="s">
        <v>111</v>
      </c>
      <c r="E138" s="7" t="s">
        <v>27</v>
      </c>
      <c r="F138" s="7" t="s">
        <v>188</v>
      </c>
      <c r="G138" s="7" t="s">
        <v>28</v>
      </c>
      <c r="H138" s="8">
        <v>44125</v>
      </c>
      <c r="I138" s="7" t="s">
        <v>195</v>
      </c>
      <c r="J138" s="9">
        <v>6125</v>
      </c>
      <c r="K138" s="9">
        <v>409.18</v>
      </c>
      <c r="L138" s="9">
        <v>2506229.6800000002</v>
      </c>
    </row>
    <row r="139" spans="1:12" x14ac:dyDescent="0.35">
      <c r="A139" s="6" t="s">
        <v>10</v>
      </c>
      <c r="B139" s="7" t="s">
        <v>211</v>
      </c>
      <c r="C139" s="7" t="s">
        <v>111</v>
      </c>
      <c r="D139" s="7" t="s">
        <v>111</v>
      </c>
      <c r="E139" s="7" t="s">
        <v>27</v>
      </c>
      <c r="F139" s="7" t="s">
        <v>188</v>
      </c>
      <c r="G139" s="7" t="s">
        <v>28</v>
      </c>
      <c r="H139" s="8">
        <v>44169</v>
      </c>
      <c r="I139" s="7" t="s">
        <v>195</v>
      </c>
      <c r="J139" s="9">
        <v>5060</v>
      </c>
      <c r="K139" s="9">
        <v>495.15</v>
      </c>
      <c r="L139" s="9">
        <v>2505469.11</v>
      </c>
    </row>
    <row r="140" spans="1:12" x14ac:dyDescent="0.35">
      <c r="A140" s="6" t="s">
        <v>10</v>
      </c>
      <c r="B140" s="7" t="s">
        <v>211</v>
      </c>
      <c r="C140" s="7" t="s">
        <v>111</v>
      </c>
      <c r="D140" s="7" t="s">
        <v>111</v>
      </c>
      <c r="E140" s="7" t="s">
        <v>27</v>
      </c>
      <c r="F140" s="7" t="s">
        <v>188</v>
      </c>
      <c r="G140" s="7" t="s">
        <v>28</v>
      </c>
      <c r="H140" s="8">
        <v>44501</v>
      </c>
      <c r="I140" s="7" t="s">
        <v>195</v>
      </c>
      <c r="J140" s="9">
        <v>798</v>
      </c>
      <c r="K140" s="9">
        <v>535</v>
      </c>
      <c r="L140" s="9">
        <v>426930</v>
      </c>
    </row>
    <row r="141" spans="1:12" x14ac:dyDescent="0.35">
      <c r="A141" s="6" t="s">
        <v>10</v>
      </c>
      <c r="B141" s="7" t="s">
        <v>211</v>
      </c>
      <c r="C141" s="7" t="s">
        <v>111</v>
      </c>
      <c r="D141" s="7" t="s">
        <v>111</v>
      </c>
      <c r="E141" s="7" t="s">
        <v>17</v>
      </c>
      <c r="F141" s="7" t="s">
        <v>188</v>
      </c>
      <c r="G141" s="7" t="s">
        <v>18</v>
      </c>
      <c r="H141" s="8">
        <v>45187</v>
      </c>
      <c r="I141" s="7" t="s">
        <v>195</v>
      </c>
      <c r="J141" s="9">
        <v>10250</v>
      </c>
      <c r="K141" s="9">
        <v>488.45</v>
      </c>
      <c r="L141" s="9">
        <v>5006639.07</v>
      </c>
    </row>
    <row r="142" spans="1:12" x14ac:dyDescent="0.35">
      <c r="A142" s="6" t="s">
        <v>10</v>
      </c>
      <c r="B142" s="7" t="s">
        <v>211</v>
      </c>
      <c r="C142" s="7" t="s">
        <v>111</v>
      </c>
      <c r="D142" s="7" t="s">
        <v>111</v>
      </c>
      <c r="E142" s="7" t="s">
        <v>97</v>
      </c>
      <c r="F142" s="7" t="s">
        <v>188</v>
      </c>
      <c r="G142" s="7" t="s">
        <v>98</v>
      </c>
      <c r="H142" s="8">
        <v>44358</v>
      </c>
      <c r="I142" s="7" t="s">
        <v>195</v>
      </c>
      <c r="J142" s="9">
        <v>32499</v>
      </c>
      <c r="K142" s="9">
        <v>154.29</v>
      </c>
      <c r="L142" s="9">
        <v>5014204.72</v>
      </c>
    </row>
    <row r="143" spans="1:12" x14ac:dyDescent="0.35">
      <c r="A143" s="6" t="s">
        <v>10</v>
      </c>
      <c r="B143" s="7" t="s">
        <v>211</v>
      </c>
      <c r="C143" s="7" t="s">
        <v>111</v>
      </c>
      <c r="D143" s="7" t="s">
        <v>111</v>
      </c>
      <c r="E143" s="7" t="s">
        <v>97</v>
      </c>
      <c r="F143" s="7" t="s">
        <v>188</v>
      </c>
      <c r="G143" s="7" t="s">
        <v>98</v>
      </c>
      <c r="H143" s="8">
        <v>44358</v>
      </c>
      <c r="I143" s="7" t="s">
        <v>195</v>
      </c>
      <c r="J143" s="9">
        <v>1</v>
      </c>
      <c r="K143" s="9">
        <v>154.28</v>
      </c>
      <c r="L143" s="9">
        <v>154.28</v>
      </c>
    </row>
    <row r="144" spans="1:12" x14ac:dyDescent="0.35">
      <c r="A144" s="6" t="s">
        <v>10</v>
      </c>
      <c r="B144" s="7" t="s">
        <v>211</v>
      </c>
      <c r="C144" s="7" t="s">
        <v>111</v>
      </c>
      <c r="D144" s="7" t="s">
        <v>111</v>
      </c>
      <c r="E144" s="7" t="s">
        <v>97</v>
      </c>
      <c r="F144" s="7" t="s">
        <v>188</v>
      </c>
      <c r="G144" s="7" t="s">
        <v>98</v>
      </c>
      <c r="H144" s="8">
        <v>45187</v>
      </c>
      <c r="I144" s="7" t="s">
        <v>195</v>
      </c>
      <c r="J144" s="9">
        <v>12720</v>
      </c>
      <c r="K144" s="9">
        <v>393.54</v>
      </c>
      <c r="L144" s="9">
        <v>5005813.2</v>
      </c>
    </row>
    <row r="145" spans="1:12" x14ac:dyDescent="0.35">
      <c r="A145" s="6" t="s">
        <v>10</v>
      </c>
      <c r="B145" s="7" t="s">
        <v>211</v>
      </c>
      <c r="C145" s="7" t="s">
        <v>111</v>
      </c>
      <c r="D145" s="7" t="s">
        <v>111</v>
      </c>
      <c r="E145" s="7" t="s">
        <v>71</v>
      </c>
      <c r="F145" s="7" t="s">
        <v>188</v>
      </c>
      <c r="G145" s="7" t="s">
        <v>72</v>
      </c>
      <c r="H145" s="8">
        <v>45540</v>
      </c>
      <c r="I145" s="7" t="s">
        <v>195</v>
      </c>
      <c r="J145" s="9">
        <v>65250</v>
      </c>
      <c r="K145" s="9">
        <v>84.6</v>
      </c>
      <c r="L145" s="9">
        <v>5520107.2400000002</v>
      </c>
    </row>
    <row r="146" spans="1:12" x14ac:dyDescent="0.35">
      <c r="A146" s="6" t="s">
        <v>10</v>
      </c>
      <c r="B146" s="7" t="s">
        <v>211</v>
      </c>
      <c r="C146" s="7" t="s">
        <v>111</v>
      </c>
      <c r="D146" s="7" t="s">
        <v>111</v>
      </c>
      <c r="E146" s="7" t="s">
        <v>93</v>
      </c>
      <c r="F146" s="7" t="s">
        <v>188</v>
      </c>
      <c r="G146" s="7" t="s">
        <v>94</v>
      </c>
      <c r="H146" s="8">
        <v>44144</v>
      </c>
      <c r="I146" s="7" t="s">
        <v>195</v>
      </c>
      <c r="J146" s="9">
        <v>1445</v>
      </c>
      <c r="K146" s="9">
        <v>233.91</v>
      </c>
      <c r="L146" s="9">
        <v>337998.42330000002</v>
      </c>
    </row>
    <row r="147" spans="1:12" x14ac:dyDescent="0.35">
      <c r="A147" s="6" t="s">
        <v>10</v>
      </c>
      <c r="B147" s="7" t="s">
        <v>211</v>
      </c>
      <c r="C147" s="7" t="s">
        <v>111</v>
      </c>
      <c r="D147" s="7" t="s">
        <v>111</v>
      </c>
      <c r="E147" s="7" t="s">
        <v>93</v>
      </c>
      <c r="F147" s="7" t="s">
        <v>188</v>
      </c>
      <c r="G147" s="7" t="s">
        <v>94</v>
      </c>
      <c r="H147" s="8">
        <v>44252</v>
      </c>
      <c r="I147" s="7" t="s">
        <v>195</v>
      </c>
      <c r="J147" s="9">
        <v>1190</v>
      </c>
      <c r="K147" s="9">
        <v>284.10000000000002</v>
      </c>
      <c r="L147" s="9">
        <v>338077.90669999999</v>
      </c>
    </row>
    <row r="148" spans="1:12" x14ac:dyDescent="0.35">
      <c r="A148" s="6" t="s">
        <v>10</v>
      </c>
      <c r="B148" s="7" t="s">
        <v>212</v>
      </c>
      <c r="C148" s="7" t="s">
        <v>216</v>
      </c>
      <c r="D148" s="7" t="s">
        <v>81</v>
      </c>
      <c r="E148" s="7"/>
      <c r="F148" s="7" t="s">
        <v>186</v>
      </c>
      <c r="G148" s="7" t="s">
        <v>82</v>
      </c>
      <c r="H148" s="8">
        <v>45016</v>
      </c>
      <c r="I148" s="7" t="s">
        <v>195</v>
      </c>
      <c r="J148" s="9">
        <v>2238333.7069999999</v>
      </c>
      <c r="K148" s="9">
        <v>31.27</v>
      </c>
      <c r="L148" s="9">
        <v>70000000</v>
      </c>
    </row>
    <row r="149" spans="1:12" x14ac:dyDescent="0.35">
      <c r="A149" s="6" t="s">
        <v>10</v>
      </c>
      <c r="B149" s="7" t="s">
        <v>214</v>
      </c>
      <c r="C149" s="7" t="s">
        <v>223</v>
      </c>
      <c r="D149" s="7" t="s">
        <v>85</v>
      </c>
      <c r="E149" s="7"/>
      <c r="F149" s="7" t="s">
        <v>187</v>
      </c>
      <c r="G149" s="7" t="s">
        <v>86</v>
      </c>
      <c r="H149" s="8">
        <v>46183</v>
      </c>
      <c r="I149" s="7" t="s">
        <v>195</v>
      </c>
      <c r="J149" s="9">
        <v>2764.3719999999998</v>
      </c>
      <c r="K149" s="9">
        <v>5642.9525999999996</v>
      </c>
      <c r="L149" s="9">
        <v>15600000</v>
      </c>
    </row>
    <row r="150" spans="1:12" x14ac:dyDescent="0.35">
      <c r="A150" s="6" t="s">
        <v>10</v>
      </c>
      <c r="B150" s="7" t="s">
        <v>214</v>
      </c>
      <c r="C150" s="7" t="s">
        <v>223</v>
      </c>
      <c r="D150" s="7" t="s">
        <v>85</v>
      </c>
      <c r="E150" s="7"/>
      <c r="F150" s="7" t="s">
        <v>187</v>
      </c>
      <c r="G150" s="7" t="s">
        <v>86</v>
      </c>
      <c r="H150" s="8">
        <v>46170</v>
      </c>
      <c r="I150" s="7" t="s">
        <v>195</v>
      </c>
      <c r="J150" s="9">
        <v>4443.0360000000001</v>
      </c>
      <c r="K150" s="9">
        <v>5626.5020999999997</v>
      </c>
      <c r="L150" s="9">
        <v>25000000</v>
      </c>
    </row>
    <row r="151" spans="1:12" x14ac:dyDescent="0.35">
      <c r="A151" s="6" t="s">
        <v>10</v>
      </c>
      <c r="B151" s="7" t="s">
        <v>214</v>
      </c>
      <c r="C151" s="7" t="s">
        <v>223</v>
      </c>
      <c r="D151" s="7" t="s">
        <v>85</v>
      </c>
      <c r="E151" s="7"/>
      <c r="F151" s="7" t="s">
        <v>187</v>
      </c>
      <c r="G151" s="7" t="s">
        <v>86</v>
      </c>
      <c r="H151" s="8">
        <v>46154</v>
      </c>
      <c r="I151" s="7" t="s">
        <v>194</v>
      </c>
      <c r="J151" s="9">
        <v>1425.44</v>
      </c>
      <c r="K151" s="9">
        <v>5613.1046999999999</v>
      </c>
      <c r="L151" s="9">
        <v>8001143.96</v>
      </c>
    </row>
    <row r="152" spans="1:12" x14ac:dyDescent="0.35">
      <c r="A152" s="6" t="s">
        <v>10</v>
      </c>
      <c r="B152" s="7" t="s">
        <v>214</v>
      </c>
      <c r="C152" s="7" t="s">
        <v>223</v>
      </c>
      <c r="D152" s="7" t="s">
        <v>85</v>
      </c>
      <c r="E152" s="7"/>
      <c r="F152" s="7" t="s">
        <v>187</v>
      </c>
      <c r="G152" s="7" t="s">
        <v>86</v>
      </c>
      <c r="H152" s="8">
        <v>46105</v>
      </c>
      <c r="I152" s="7" t="s">
        <v>194</v>
      </c>
      <c r="J152" s="9">
        <v>9899.9609999999993</v>
      </c>
      <c r="K152" s="9">
        <v>5555.8074999999999</v>
      </c>
      <c r="L152" s="9">
        <v>55002277.579999998</v>
      </c>
    </row>
    <row r="153" spans="1:12" x14ac:dyDescent="0.35">
      <c r="A153" s="6" t="s">
        <v>10</v>
      </c>
      <c r="B153" s="7" t="s">
        <v>214</v>
      </c>
      <c r="C153" s="7" t="s">
        <v>223</v>
      </c>
      <c r="D153" s="7" t="s">
        <v>85</v>
      </c>
      <c r="E153" s="7"/>
      <c r="F153" s="7" t="s">
        <v>187</v>
      </c>
      <c r="G153" s="7" t="s">
        <v>86</v>
      </c>
      <c r="H153" s="8">
        <v>46082</v>
      </c>
      <c r="I153" s="7" t="s">
        <v>195</v>
      </c>
      <c r="J153" s="9">
        <v>7222.1030000000001</v>
      </c>
      <c r="K153" s="9">
        <v>5538.2758999999996</v>
      </c>
      <c r="L153" s="9">
        <v>40000000</v>
      </c>
    </row>
    <row r="154" spans="1:12" x14ac:dyDescent="0.35">
      <c r="A154" s="6" t="s">
        <v>10</v>
      </c>
      <c r="B154" s="7" t="s">
        <v>214</v>
      </c>
      <c r="C154" s="7" t="s">
        <v>223</v>
      </c>
      <c r="D154" s="7" t="s">
        <v>85</v>
      </c>
      <c r="E154" s="7"/>
      <c r="F154" s="7" t="s">
        <v>187</v>
      </c>
      <c r="G154" s="7" t="s">
        <v>86</v>
      </c>
      <c r="H154" s="8">
        <v>46056</v>
      </c>
      <c r="I154" s="7" t="s">
        <v>194</v>
      </c>
      <c r="J154" s="9">
        <v>1088.5409999999999</v>
      </c>
      <c r="K154" s="9">
        <v>5513.5910000000003</v>
      </c>
      <c r="L154" s="9">
        <v>6001769.8600000003</v>
      </c>
    </row>
    <row r="155" spans="1:12" x14ac:dyDescent="0.35">
      <c r="A155" s="6" t="s">
        <v>10</v>
      </c>
      <c r="B155" s="7" t="s">
        <v>214</v>
      </c>
      <c r="C155" s="7" t="s">
        <v>223</v>
      </c>
      <c r="D155" s="7" t="s">
        <v>85</v>
      </c>
      <c r="E155" s="7"/>
      <c r="F155" s="7" t="s">
        <v>187</v>
      </c>
      <c r="G155" s="7" t="s">
        <v>86</v>
      </c>
      <c r="H155" s="8">
        <v>46037</v>
      </c>
      <c r="I155" s="7" t="s">
        <v>194</v>
      </c>
      <c r="J155" s="9">
        <v>909.88099999999997</v>
      </c>
      <c r="K155" s="9">
        <v>5496.8401999999996</v>
      </c>
      <c r="L155" s="9">
        <v>5001470.46</v>
      </c>
    </row>
    <row r="156" spans="1:12" x14ac:dyDescent="0.35">
      <c r="A156" s="6" t="s">
        <v>10</v>
      </c>
      <c r="B156" s="7" t="s">
        <v>214</v>
      </c>
      <c r="C156" s="7" t="s">
        <v>223</v>
      </c>
      <c r="D156" s="7" t="s">
        <v>85</v>
      </c>
      <c r="E156" s="7"/>
      <c r="F156" s="7" t="s">
        <v>187</v>
      </c>
      <c r="G156" s="7" t="s">
        <v>86</v>
      </c>
      <c r="H156" s="8">
        <v>45986</v>
      </c>
      <c r="I156" s="7" t="s">
        <v>195</v>
      </c>
      <c r="J156" s="9">
        <v>6417.3609999999999</v>
      </c>
      <c r="K156" s="9">
        <v>5453.683</v>
      </c>
      <c r="L156" s="9">
        <v>35000000</v>
      </c>
    </row>
    <row r="157" spans="1:12" x14ac:dyDescent="0.35">
      <c r="A157" s="6" t="s">
        <v>10</v>
      </c>
      <c r="B157" s="7" t="s">
        <v>214</v>
      </c>
      <c r="C157" s="7" t="s">
        <v>223</v>
      </c>
      <c r="D157" s="7" t="s">
        <v>85</v>
      </c>
      <c r="E157" s="7"/>
      <c r="F157" s="7" t="s">
        <v>187</v>
      </c>
      <c r="G157" s="7" t="s">
        <v>86</v>
      </c>
      <c r="H157" s="8">
        <v>45972</v>
      </c>
      <c r="I157" s="7" t="s">
        <v>194</v>
      </c>
      <c r="J157" s="9">
        <v>16.661999999999999</v>
      </c>
      <c r="K157" s="9">
        <v>5441.5168000000003</v>
      </c>
      <c r="L157" s="9">
        <v>90666.55</v>
      </c>
    </row>
    <row r="158" spans="1:12" x14ac:dyDescent="0.35">
      <c r="A158" s="6" t="s">
        <v>10</v>
      </c>
      <c r="B158" s="7" t="s">
        <v>214</v>
      </c>
      <c r="C158" s="7" t="s">
        <v>223</v>
      </c>
      <c r="D158" s="7" t="s">
        <v>85</v>
      </c>
      <c r="E158" s="7"/>
      <c r="F158" s="7" t="s">
        <v>187</v>
      </c>
      <c r="G158" s="7" t="s">
        <v>86</v>
      </c>
      <c r="H158" s="8">
        <v>45939</v>
      </c>
      <c r="I158" s="7" t="s">
        <v>194</v>
      </c>
      <c r="J158" s="9">
        <v>1847.203</v>
      </c>
      <c r="K158" s="9">
        <v>5413.5892999999996</v>
      </c>
      <c r="L158" s="9">
        <v>10000000</v>
      </c>
    </row>
    <row r="159" spans="1:12" x14ac:dyDescent="0.35">
      <c r="A159" s="6" t="s">
        <v>10</v>
      </c>
      <c r="B159" s="7" t="s">
        <v>214</v>
      </c>
      <c r="C159" s="7" t="s">
        <v>223</v>
      </c>
      <c r="D159" s="7" t="s">
        <v>85</v>
      </c>
      <c r="E159" s="7"/>
      <c r="F159" s="7" t="s">
        <v>187</v>
      </c>
      <c r="G159" s="7" t="s">
        <v>86</v>
      </c>
      <c r="H159" s="8">
        <v>45882</v>
      </c>
      <c r="I159" s="7" t="s">
        <v>195</v>
      </c>
      <c r="J159" s="9">
        <v>1863.865</v>
      </c>
      <c r="K159" s="9">
        <v>5364.9272000000001</v>
      </c>
      <c r="L159" s="9">
        <v>10000000</v>
      </c>
    </row>
    <row r="160" spans="1:12" x14ac:dyDescent="0.35">
      <c r="A160" s="6" t="s">
        <v>10</v>
      </c>
      <c r="B160" s="7" t="s">
        <v>211</v>
      </c>
      <c r="C160" s="7" t="s">
        <v>215</v>
      </c>
      <c r="D160" s="7" t="s">
        <v>87</v>
      </c>
      <c r="E160" s="7" t="s">
        <v>87</v>
      </c>
      <c r="F160" s="7" t="s">
        <v>186</v>
      </c>
      <c r="G160" s="7" t="s">
        <v>88</v>
      </c>
      <c r="H160" s="8">
        <v>45945</v>
      </c>
      <c r="I160" s="7" t="s">
        <v>195</v>
      </c>
      <c r="J160" s="9">
        <v>25771.215</v>
      </c>
      <c r="K160" s="9">
        <v>268.79500000000002</v>
      </c>
      <c r="L160" s="9">
        <v>6927520.1699999999</v>
      </c>
    </row>
    <row r="161" spans="1:12" x14ac:dyDescent="0.35">
      <c r="A161" s="6" t="s">
        <v>10</v>
      </c>
      <c r="B161" s="7" t="s">
        <v>211</v>
      </c>
      <c r="C161" s="7" t="s">
        <v>215</v>
      </c>
      <c r="D161" s="7" t="s">
        <v>87</v>
      </c>
      <c r="E161" s="7" t="s">
        <v>87</v>
      </c>
      <c r="F161" s="7" t="s">
        <v>186</v>
      </c>
      <c r="G161" s="7" t="s">
        <v>88</v>
      </c>
      <c r="H161" s="8">
        <v>45937</v>
      </c>
      <c r="I161" s="7" t="s">
        <v>195</v>
      </c>
      <c r="J161" s="9">
        <v>5091.3810000000003</v>
      </c>
      <c r="K161" s="9">
        <v>267.69</v>
      </c>
      <c r="L161" s="9">
        <v>1362979.88</v>
      </c>
    </row>
    <row r="162" spans="1:12" x14ac:dyDescent="0.35">
      <c r="A162" s="6" t="s">
        <v>10</v>
      </c>
      <c r="B162" s="7" t="s">
        <v>114</v>
      </c>
      <c r="C162" s="7" t="s">
        <v>112</v>
      </c>
      <c r="D162" s="7" t="s">
        <v>91</v>
      </c>
      <c r="E162" s="7" t="s">
        <v>87</v>
      </c>
      <c r="F162" s="7" t="s">
        <v>185</v>
      </c>
      <c r="G162" s="7" t="s">
        <v>92</v>
      </c>
      <c r="H162" s="8">
        <v>45883</v>
      </c>
      <c r="I162" s="7" t="s">
        <v>195</v>
      </c>
      <c r="J162" s="9">
        <v>30900</v>
      </c>
      <c r="K162" s="9">
        <v>99.51</v>
      </c>
      <c r="L162" s="9">
        <v>3074797.2</v>
      </c>
    </row>
    <row r="163" spans="1:12" x14ac:dyDescent="0.35">
      <c r="A163" s="6" t="s">
        <v>10</v>
      </c>
      <c r="B163" s="7" t="s">
        <v>114</v>
      </c>
      <c r="C163" s="7" t="s">
        <v>113</v>
      </c>
      <c r="D163" s="7" t="s">
        <v>89</v>
      </c>
      <c r="E163" s="7" t="s">
        <v>87</v>
      </c>
      <c r="F163" s="7" t="s">
        <v>187</v>
      </c>
      <c r="G163" s="7" t="s">
        <v>90</v>
      </c>
      <c r="H163" s="8">
        <v>46111</v>
      </c>
      <c r="I163" s="7" t="s">
        <v>195</v>
      </c>
      <c r="J163" s="9">
        <v>350000</v>
      </c>
      <c r="K163" s="9">
        <v>146.19</v>
      </c>
      <c r="L163" s="9">
        <v>51167034.329999998</v>
      </c>
    </row>
    <row r="164" spans="1:12" x14ac:dyDescent="0.35">
      <c r="A164" s="6" t="s">
        <v>10</v>
      </c>
      <c r="B164" s="7" t="s">
        <v>213</v>
      </c>
      <c r="C164" s="7" t="s">
        <v>217</v>
      </c>
      <c r="D164" s="7" t="s">
        <v>73</v>
      </c>
      <c r="E164" s="7" t="s">
        <v>87</v>
      </c>
      <c r="F164" s="7" t="s">
        <v>187</v>
      </c>
      <c r="G164" s="7" t="s">
        <v>74</v>
      </c>
      <c r="H164" s="8">
        <v>44344</v>
      </c>
      <c r="I164" s="7" t="s">
        <v>195</v>
      </c>
      <c r="J164" s="9">
        <v>2000</v>
      </c>
      <c r="K164" s="9">
        <v>4792</v>
      </c>
      <c r="L164" s="9">
        <v>9584000</v>
      </c>
    </row>
    <row r="165" spans="1:12" x14ac:dyDescent="0.35">
      <c r="A165" s="6" t="s">
        <v>10</v>
      </c>
      <c r="B165" s="7" t="s">
        <v>11</v>
      </c>
      <c r="C165" s="7" t="s">
        <v>219</v>
      </c>
      <c r="D165" s="7" t="s">
        <v>103</v>
      </c>
      <c r="E165" s="7" t="s">
        <v>87</v>
      </c>
      <c r="F165" s="7" t="s">
        <v>185</v>
      </c>
      <c r="G165" s="7"/>
      <c r="H165" s="8">
        <v>45593</v>
      </c>
      <c r="I165" s="7" t="s">
        <v>195</v>
      </c>
      <c r="J165" s="9">
        <v>104994.75</v>
      </c>
      <c r="K165" s="9">
        <v>100.0050002500125</v>
      </c>
      <c r="L165" s="9">
        <v>10500000</v>
      </c>
    </row>
    <row r="166" spans="1:12" x14ac:dyDescent="0.35">
      <c r="A166" s="6" t="s">
        <v>10</v>
      </c>
      <c r="B166" s="7" t="s">
        <v>11</v>
      </c>
      <c r="C166" s="7" t="s">
        <v>219</v>
      </c>
      <c r="D166" s="7" t="s">
        <v>103</v>
      </c>
      <c r="E166" s="7" t="s">
        <v>87</v>
      </c>
      <c r="F166" s="7" t="s">
        <v>185</v>
      </c>
      <c r="G166" s="7"/>
      <c r="H166" s="8">
        <v>45797</v>
      </c>
      <c r="I166" s="7" t="s">
        <v>195</v>
      </c>
      <c r="J166" s="9">
        <v>20998.95</v>
      </c>
      <c r="K166" s="9">
        <v>100.0050002500125</v>
      </c>
      <c r="L166" s="9">
        <v>2100000</v>
      </c>
    </row>
    <row r="167" spans="1:12" x14ac:dyDescent="0.35">
      <c r="A167" s="6" t="s">
        <v>10</v>
      </c>
      <c r="B167" s="7" t="s">
        <v>11</v>
      </c>
      <c r="C167" s="7" t="s">
        <v>219</v>
      </c>
      <c r="D167" s="7" t="s">
        <v>103</v>
      </c>
      <c r="E167" s="7" t="s">
        <v>87</v>
      </c>
      <c r="F167" s="7" t="s">
        <v>185</v>
      </c>
      <c r="G167" s="7"/>
      <c r="H167" s="8">
        <v>45960</v>
      </c>
      <c r="I167" s="7" t="s">
        <v>195</v>
      </c>
      <c r="J167" s="9">
        <v>89995.5</v>
      </c>
      <c r="K167" s="9">
        <v>100.0050002500125</v>
      </c>
      <c r="L167" s="9">
        <v>9000000</v>
      </c>
    </row>
    <row r="168" spans="1:12" x14ac:dyDescent="0.35">
      <c r="A168" s="6" t="s">
        <v>10</v>
      </c>
      <c r="B168" s="7" t="s">
        <v>172</v>
      </c>
      <c r="C168" s="7" t="s">
        <v>221</v>
      </c>
      <c r="D168" s="7" t="s">
        <v>174</v>
      </c>
      <c r="E168" s="7" t="s">
        <v>87</v>
      </c>
      <c r="F168" s="7" t="s">
        <v>186</v>
      </c>
      <c r="G168" s="7"/>
      <c r="H168" s="8">
        <v>46106</v>
      </c>
      <c r="I168" s="7" t="s">
        <v>195</v>
      </c>
      <c r="J168" s="9">
        <v>83</v>
      </c>
      <c r="K168" s="9">
        <v>120880</v>
      </c>
      <c r="L168" s="9">
        <v>10033040</v>
      </c>
    </row>
    <row r="169" spans="1:12" x14ac:dyDescent="0.35">
      <c r="A169" s="6" t="s">
        <v>10</v>
      </c>
      <c r="B169" s="7" t="s">
        <v>177</v>
      </c>
      <c r="C169" s="7" t="s">
        <v>224</v>
      </c>
      <c r="D169" s="7" t="s">
        <v>178</v>
      </c>
      <c r="E169" s="7" t="s">
        <v>87</v>
      </c>
      <c r="F169" s="7" t="s">
        <v>185</v>
      </c>
      <c r="G169" s="7"/>
      <c r="H169" s="8">
        <v>46044</v>
      </c>
      <c r="I169" s="7" t="s">
        <v>195</v>
      </c>
      <c r="J169" s="9">
        <v>846.40599999999995</v>
      </c>
      <c r="K169" s="9">
        <f>177.22*91.57</f>
        <v>16228.035399999999</v>
      </c>
      <c r="L169" s="9">
        <f>+J169*K169</f>
        <v>13735506.530772397</v>
      </c>
    </row>
    <row r="170" spans="1:12" x14ac:dyDescent="0.35">
      <c r="A170" s="6" t="s">
        <v>10</v>
      </c>
      <c r="B170" s="7" t="s">
        <v>177</v>
      </c>
      <c r="C170" s="7" t="s">
        <v>224</v>
      </c>
      <c r="D170" s="7" t="s">
        <v>178</v>
      </c>
      <c r="E170" s="7" t="s">
        <v>87</v>
      </c>
      <c r="F170" s="7" t="s">
        <v>185</v>
      </c>
      <c r="G170" s="7"/>
      <c r="H170" s="8">
        <v>46077</v>
      </c>
      <c r="I170" s="7" t="s">
        <v>195</v>
      </c>
      <c r="J170" s="9">
        <v>262.399</v>
      </c>
      <c r="K170" s="9">
        <f>189.02*90.918</f>
        <v>17185.320360000002</v>
      </c>
      <c r="L170" s="9">
        <f>+J170*K170</f>
        <v>4509410.8771436401</v>
      </c>
    </row>
    <row r="171" spans="1:12" x14ac:dyDescent="0.35">
      <c r="A171" s="6" t="s">
        <v>116</v>
      </c>
      <c r="B171" s="6" t="s">
        <v>211</v>
      </c>
      <c r="C171" s="6" t="s">
        <v>210</v>
      </c>
      <c r="D171" s="7" t="s">
        <v>232</v>
      </c>
      <c r="E171" s="7" t="s">
        <v>87</v>
      </c>
      <c r="F171" s="6" t="s">
        <v>185</v>
      </c>
      <c r="G171" s="7" t="str">
        <f>+VLOOKUP(E171,Detail!$E$51:$F$95,2,0)</f>
        <v>INF179K01VK7</v>
      </c>
      <c r="H171" s="8">
        <v>46240</v>
      </c>
      <c r="I171" s="7" t="s">
        <v>195</v>
      </c>
      <c r="J171" s="9">
        <v>870</v>
      </c>
      <c r="K171" s="9">
        <v>1078.1863000000001</v>
      </c>
      <c r="L171" s="9">
        <v>938716.26</v>
      </c>
    </row>
    <row r="172" spans="1:12" x14ac:dyDescent="0.35">
      <c r="A172" s="6" t="s">
        <v>116</v>
      </c>
      <c r="B172" s="6" t="s">
        <v>211</v>
      </c>
      <c r="C172" s="6" t="s">
        <v>210</v>
      </c>
      <c r="D172" s="7" t="s">
        <v>232</v>
      </c>
      <c r="E172" s="7" t="s">
        <v>87</v>
      </c>
      <c r="F172" s="6" t="s">
        <v>185</v>
      </c>
      <c r="G172" s="7" t="s">
        <v>26</v>
      </c>
      <c r="H172" s="8">
        <v>46230</v>
      </c>
      <c r="I172" s="7" t="s">
        <v>194</v>
      </c>
      <c r="J172" s="9">
        <v>925</v>
      </c>
      <c r="K172" s="9">
        <v>1557.6989000000001</v>
      </c>
      <c r="L172" s="9">
        <v>1439969.49</v>
      </c>
    </row>
    <row r="173" spans="1:12" x14ac:dyDescent="0.35">
      <c r="A173" s="6" t="s">
        <v>116</v>
      </c>
      <c r="B173" s="6" t="s">
        <v>211</v>
      </c>
      <c r="C173" s="6" t="s">
        <v>210</v>
      </c>
      <c r="D173" s="7" t="s">
        <v>232</v>
      </c>
      <c r="E173" s="7" t="s">
        <v>87</v>
      </c>
      <c r="F173" s="6" t="s">
        <v>185</v>
      </c>
      <c r="G173" s="7" t="str">
        <f>+VLOOKUP(E173,Detail!$E$51:$F$95,2,0)</f>
        <v>INF179K01VK7</v>
      </c>
      <c r="H173" s="8">
        <v>46227</v>
      </c>
      <c r="I173" s="7" t="s">
        <v>195</v>
      </c>
      <c r="J173" s="9">
        <v>590</v>
      </c>
      <c r="K173" s="9">
        <v>1952.9478999999999</v>
      </c>
      <c r="L173" s="9">
        <v>1153091.93</v>
      </c>
    </row>
    <row r="174" spans="1:12" x14ac:dyDescent="0.35">
      <c r="A174" s="6" t="s">
        <v>116</v>
      </c>
      <c r="B174" s="6" t="s">
        <v>211</v>
      </c>
      <c r="C174" s="6" t="s">
        <v>210</v>
      </c>
      <c r="D174" s="7" t="s">
        <v>232</v>
      </c>
      <c r="E174" s="7" t="s">
        <v>87</v>
      </c>
      <c r="F174" s="6" t="s">
        <v>185</v>
      </c>
      <c r="G174" s="7" t="str">
        <f>+VLOOKUP(E174,Detail!$E$51:$F$95,2,0)</f>
        <v>INF179K01VK7</v>
      </c>
      <c r="H174" s="8">
        <v>46225</v>
      </c>
      <c r="I174" s="7" t="s">
        <v>195</v>
      </c>
      <c r="J174" s="9">
        <v>110</v>
      </c>
      <c r="K174" s="9">
        <v>2207.2822000000001</v>
      </c>
      <c r="L174" s="9">
        <v>242944.3</v>
      </c>
    </row>
    <row r="175" spans="1:12" x14ac:dyDescent="0.35">
      <c r="A175" s="6" t="s">
        <v>116</v>
      </c>
      <c r="B175" s="6" t="s">
        <v>211</v>
      </c>
      <c r="C175" s="6" t="s">
        <v>210</v>
      </c>
      <c r="D175" s="7" t="s">
        <v>232</v>
      </c>
      <c r="E175" s="7" t="s">
        <v>87</v>
      </c>
      <c r="F175" s="6" t="s">
        <v>185</v>
      </c>
      <c r="G175" s="7" t="str">
        <f>+VLOOKUP(E175,Detail!$E$51:$F$95,2,0)</f>
        <v>INF179K01VK7</v>
      </c>
      <c r="H175" s="8">
        <v>46224</v>
      </c>
      <c r="I175" s="7" t="s">
        <v>195</v>
      </c>
      <c r="J175" s="9">
        <v>850</v>
      </c>
      <c r="K175" s="9">
        <v>1262.6054999999999</v>
      </c>
      <c r="L175" s="9">
        <v>1074047.5</v>
      </c>
    </row>
    <row r="176" spans="1:12" x14ac:dyDescent="0.35">
      <c r="A176" s="6" t="s">
        <v>116</v>
      </c>
      <c r="B176" s="6" t="s">
        <v>211</v>
      </c>
      <c r="C176" s="6" t="s">
        <v>210</v>
      </c>
      <c r="D176" s="7" t="s">
        <v>232</v>
      </c>
      <c r="E176" s="7" t="s">
        <v>87</v>
      </c>
      <c r="F176" s="6" t="s">
        <v>185</v>
      </c>
      <c r="G176" s="7" t="str">
        <f>+VLOOKUP(E176,Detail!$E$51:$F$95,2,0)</f>
        <v>INF179K01VK7</v>
      </c>
      <c r="H176" s="8">
        <v>46224</v>
      </c>
      <c r="I176" s="7" t="s">
        <v>194</v>
      </c>
      <c r="J176" s="9">
        <v>660</v>
      </c>
      <c r="K176" s="9">
        <v>1459.8778</v>
      </c>
      <c r="L176" s="9">
        <v>963064.54</v>
      </c>
    </row>
    <row r="177" spans="1:12" x14ac:dyDescent="0.35">
      <c r="A177" s="6" t="s">
        <v>116</v>
      </c>
      <c r="B177" s="6" t="s">
        <v>211</v>
      </c>
      <c r="C177" s="6" t="s">
        <v>210</v>
      </c>
      <c r="D177" s="7" t="s">
        <v>232</v>
      </c>
      <c r="E177" s="7" t="s">
        <v>87</v>
      </c>
      <c r="F177" s="6" t="s">
        <v>185</v>
      </c>
      <c r="G177" s="7" t="s">
        <v>234</v>
      </c>
      <c r="H177" s="8">
        <v>46219</v>
      </c>
      <c r="I177" s="7" t="s">
        <v>194</v>
      </c>
      <c r="J177" s="9">
        <v>2220</v>
      </c>
      <c r="K177" s="9">
        <v>808.37400000000002</v>
      </c>
      <c r="L177" s="9">
        <v>1793154.61</v>
      </c>
    </row>
    <row r="178" spans="1:12" x14ac:dyDescent="0.35">
      <c r="A178" s="6" t="s">
        <v>116</v>
      </c>
      <c r="B178" s="6" t="s">
        <v>211</v>
      </c>
      <c r="C178" s="6" t="s">
        <v>210</v>
      </c>
      <c r="D178" s="7" t="s">
        <v>232</v>
      </c>
      <c r="E178" s="7" t="s">
        <v>87</v>
      </c>
      <c r="F178" s="6" t="s">
        <v>185</v>
      </c>
      <c r="G178" s="7" t="str">
        <f>+VLOOKUP(E178,Detail!$E$51:$F$95,2,0)</f>
        <v>INF179K01VK7</v>
      </c>
      <c r="H178" s="8">
        <v>46217</v>
      </c>
      <c r="I178" s="7" t="s">
        <v>204</v>
      </c>
      <c r="J178" s="9">
        <v>24</v>
      </c>
      <c r="K178" s="9">
        <v>12000</v>
      </c>
      <c r="L178" s="9">
        <v>287469.78999999998</v>
      </c>
    </row>
    <row r="179" spans="1:12" x14ac:dyDescent="0.35">
      <c r="A179" s="6" t="s">
        <v>116</v>
      </c>
      <c r="B179" s="6" t="s">
        <v>211</v>
      </c>
      <c r="C179" s="6" t="s">
        <v>210</v>
      </c>
      <c r="D179" s="7" t="s">
        <v>232</v>
      </c>
      <c r="E179" s="7" t="s">
        <v>87</v>
      </c>
      <c r="F179" s="6" t="s">
        <v>185</v>
      </c>
      <c r="G179" s="7" t="str">
        <f>+VLOOKUP(E179,Detail!$E$51:$F$95,2,0)</f>
        <v>INF179K01VK7</v>
      </c>
      <c r="H179" s="8">
        <v>46211</v>
      </c>
      <c r="I179" s="7" t="s">
        <v>195</v>
      </c>
      <c r="J179" s="9">
        <v>3550</v>
      </c>
      <c r="K179" s="9">
        <v>450.40640000000002</v>
      </c>
      <c r="L179" s="9">
        <v>1600527.44</v>
      </c>
    </row>
    <row r="180" spans="1:12" x14ac:dyDescent="0.35">
      <c r="A180" s="6" t="s">
        <v>116</v>
      </c>
      <c r="B180" s="6" t="s">
        <v>211</v>
      </c>
      <c r="C180" s="6" t="s">
        <v>210</v>
      </c>
      <c r="D180" s="7" t="s">
        <v>232</v>
      </c>
      <c r="E180" s="7" t="s">
        <v>87</v>
      </c>
      <c r="F180" s="6" t="s">
        <v>185</v>
      </c>
      <c r="G180" s="7" t="str">
        <f>+VLOOKUP(E180,Detail!$E$51:$F$95,2,0)</f>
        <v>INF179K01VK7</v>
      </c>
      <c r="H180" s="8">
        <v>46210</v>
      </c>
      <c r="I180" s="7" t="s">
        <v>194</v>
      </c>
      <c r="J180" s="9">
        <v>590</v>
      </c>
      <c r="K180" s="9">
        <v>1238.7714000000001</v>
      </c>
      <c r="L180" s="9">
        <v>730443.9</v>
      </c>
    </row>
    <row r="181" spans="1:12" x14ac:dyDescent="0.35">
      <c r="A181" s="6" t="s">
        <v>116</v>
      </c>
      <c r="B181" s="6" t="s">
        <v>211</v>
      </c>
      <c r="C181" s="6" t="s">
        <v>210</v>
      </c>
      <c r="D181" s="7" t="s">
        <v>232</v>
      </c>
      <c r="E181" s="7" t="s">
        <v>87</v>
      </c>
      <c r="F181" s="6" t="s">
        <v>185</v>
      </c>
      <c r="G181" s="7" t="str">
        <f>+VLOOKUP(E181,Detail!$E$51:$F$95,2,0)</f>
        <v>INF179K01VK7</v>
      </c>
      <c r="H181" s="8">
        <v>46205</v>
      </c>
      <c r="I181" s="7" t="s">
        <v>194</v>
      </c>
      <c r="J181" s="9">
        <v>70</v>
      </c>
      <c r="K181" s="9">
        <v>5425.5412999999999</v>
      </c>
      <c r="L181" s="9">
        <v>379563.81</v>
      </c>
    </row>
    <row r="182" spans="1:12" x14ac:dyDescent="0.35">
      <c r="A182" s="6" t="s">
        <v>116</v>
      </c>
      <c r="B182" s="6" t="s">
        <v>211</v>
      </c>
      <c r="C182" s="6" t="s">
        <v>210</v>
      </c>
      <c r="D182" s="7" t="s">
        <v>232</v>
      </c>
      <c r="E182" s="7" t="s">
        <v>87</v>
      </c>
      <c r="F182" s="6" t="s">
        <v>185</v>
      </c>
      <c r="G182" s="7" t="s">
        <v>26</v>
      </c>
      <c r="H182" s="8">
        <v>46198</v>
      </c>
      <c r="I182" s="7" t="s">
        <v>194</v>
      </c>
      <c r="J182" s="9">
        <v>320</v>
      </c>
      <c r="K182" s="9">
        <v>1552.7539999999999</v>
      </c>
      <c r="L182" s="9">
        <v>496588.13</v>
      </c>
    </row>
    <row r="183" spans="1:12" x14ac:dyDescent="0.35">
      <c r="A183" s="6" t="s">
        <v>116</v>
      </c>
      <c r="B183" s="6" t="s">
        <v>211</v>
      </c>
      <c r="C183" s="6" t="s">
        <v>210</v>
      </c>
      <c r="D183" s="7" t="s">
        <v>232</v>
      </c>
      <c r="E183" s="7" t="s">
        <v>87</v>
      </c>
      <c r="F183" s="6" t="s">
        <v>185</v>
      </c>
      <c r="G183" s="7" t="str">
        <f>+VLOOKUP(E183,Detail!$E$51:$F$95,2,0)</f>
        <v>INF179K01VK7</v>
      </c>
      <c r="H183" s="8">
        <v>46197</v>
      </c>
      <c r="I183" s="7" t="s">
        <v>195</v>
      </c>
      <c r="J183" s="9">
        <v>1060</v>
      </c>
      <c r="K183" s="9">
        <v>1057.5659000000001</v>
      </c>
      <c r="L183" s="9">
        <v>1121849.4099999999</v>
      </c>
    </row>
    <row r="184" spans="1:12" x14ac:dyDescent="0.35">
      <c r="A184" s="6" t="s">
        <v>116</v>
      </c>
      <c r="B184" s="6" t="s">
        <v>211</v>
      </c>
      <c r="C184" s="6" t="s">
        <v>210</v>
      </c>
      <c r="D184" s="7" t="s">
        <v>232</v>
      </c>
      <c r="E184" s="7" t="s">
        <v>87</v>
      </c>
      <c r="F184" s="6" t="s">
        <v>185</v>
      </c>
      <c r="G184" s="7" t="s">
        <v>237</v>
      </c>
      <c r="H184" s="8">
        <v>46197</v>
      </c>
      <c r="I184" s="7" t="s">
        <v>194</v>
      </c>
      <c r="J184" s="9">
        <v>4298</v>
      </c>
      <c r="K184" s="9">
        <v>506.31779999999998</v>
      </c>
      <c r="L184" s="9">
        <v>2175065.65</v>
      </c>
    </row>
    <row r="185" spans="1:12" x14ac:dyDescent="0.35">
      <c r="A185" s="6" t="s">
        <v>116</v>
      </c>
      <c r="B185" s="6" t="s">
        <v>211</v>
      </c>
      <c r="C185" s="6" t="s">
        <v>210</v>
      </c>
      <c r="D185" s="7" t="s">
        <v>232</v>
      </c>
      <c r="E185" s="7" t="s">
        <v>87</v>
      </c>
      <c r="F185" s="6" t="s">
        <v>185</v>
      </c>
      <c r="G185" s="7" t="str">
        <f>+VLOOKUP(E185,Detail!$E$51:$F$95,2,0)</f>
        <v>INF179K01VK7</v>
      </c>
      <c r="H185" s="8">
        <v>46182</v>
      </c>
      <c r="I185" s="7" t="s">
        <v>195</v>
      </c>
      <c r="J185" s="9">
        <v>3169</v>
      </c>
      <c r="K185" s="9">
        <v>520.49879999999996</v>
      </c>
      <c r="L185" s="9">
        <v>1650780.27</v>
      </c>
    </row>
    <row r="186" spans="1:12" x14ac:dyDescent="0.35">
      <c r="A186" s="6" t="s">
        <v>116</v>
      </c>
      <c r="B186" s="6" t="s">
        <v>211</v>
      </c>
      <c r="C186" s="6" t="s">
        <v>210</v>
      </c>
      <c r="D186" s="7" t="s">
        <v>232</v>
      </c>
      <c r="E186" s="7" t="s">
        <v>87</v>
      </c>
      <c r="F186" s="6" t="s">
        <v>185</v>
      </c>
      <c r="G186" s="7" t="s">
        <v>234</v>
      </c>
      <c r="H186" s="8">
        <v>46178</v>
      </c>
      <c r="I186" s="7" t="s">
        <v>195</v>
      </c>
      <c r="J186" s="9">
        <v>2220</v>
      </c>
      <c r="K186" s="9">
        <v>757.00930000000005</v>
      </c>
      <c r="L186" s="9">
        <v>1682226.09</v>
      </c>
    </row>
    <row r="187" spans="1:12" x14ac:dyDescent="0.35">
      <c r="A187" s="6" t="s">
        <v>116</v>
      </c>
      <c r="B187" s="6" t="s">
        <v>211</v>
      </c>
      <c r="C187" s="6" t="s">
        <v>210</v>
      </c>
      <c r="D187" s="7" t="s">
        <v>232</v>
      </c>
      <c r="E187" s="7" t="s">
        <v>87</v>
      </c>
      <c r="F187" s="6" t="s">
        <v>185</v>
      </c>
      <c r="G187" s="7" t="str">
        <f>+VLOOKUP(E187,Detail!$E$51:$F$95,2,0)</f>
        <v>INF179K01VK7</v>
      </c>
      <c r="H187" s="8">
        <v>46177</v>
      </c>
      <c r="I187" s="7" t="s">
        <v>196</v>
      </c>
      <c r="J187" s="9">
        <v>231</v>
      </c>
      <c r="K187" s="9">
        <v>0</v>
      </c>
      <c r="L187" s="9">
        <v>0</v>
      </c>
    </row>
    <row r="188" spans="1:12" x14ac:dyDescent="0.35">
      <c r="A188" s="6" t="s">
        <v>116</v>
      </c>
      <c r="B188" s="6" t="s">
        <v>211</v>
      </c>
      <c r="C188" s="6" t="s">
        <v>210</v>
      </c>
      <c r="D188" s="7" t="s">
        <v>232</v>
      </c>
      <c r="E188" s="7" t="s">
        <v>87</v>
      </c>
      <c r="F188" s="6" t="s">
        <v>185</v>
      </c>
      <c r="G188" s="7" t="str">
        <f>+VLOOKUP(E188,Detail!$E$51:$F$95,2,0)</f>
        <v>INF179K01VK7</v>
      </c>
      <c r="H188" s="8">
        <v>46175</v>
      </c>
      <c r="I188" s="7" t="s">
        <v>194</v>
      </c>
      <c r="J188" s="9">
        <v>55</v>
      </c>
      <c r="K188" s="9">
        <v>3953.7809999999999</v>
      </c>
      <c r="L188" s="9">
        <v>217329.66</v>
      </c>
    </row>
    <row r="189" spans="1:12" x14ac:dyDescent="0.35">
      <c r="A189" s="6" t="s">
        <v>116</v>
      </c>
      <c r="B189" s="6" t="s">
        <v>211</v>
      </c>
      <c r="C189" s="6" t="s">
        <v>210</v>
      </c>
      <c r="D189" s="7" t="s">
        <v>232</v>
      </c>
      <c r="E189" s="7" t="s">
        <v>87</v>
      </c>
      <c r="F189" s="6" t="s">
        <v>185</v>
      </c>
      <c r="G189" s="7" t="str">
        <f>+VLOOKUP(E189,Detail!$E$51:$F$95,2,0)</f>
        <v>INF179K01VK7</v>
      </c>
      <c r="H189" s="8">
        <v>46175</v>
      </c>
      <c r="I189" s="7" t="s">
        <v>194</v>
      </c>
      <c r="J189" s="9">
        <v>330</v>
      </c>
      <c r="K189" s="9">
        <v>945.07190000000003</v>
      </c>
      <c r="L189" s="9">
        <v>311689.71999999997</v>
      </c>
    </row>
    <row r="190" spans="1:12" x14ac:dyDescent="0.35">
      <c r="A190" s="6" t="s">
        <v>116</v>
      </c>
      <c r="B190" s="6" t="s">
        <v>211</v>
      </c>
      <c r="C190" s="6" t="s">
        <v>210</v>
      </c>
      <c r="D190" s="7" t="s">
        <v>232</v>
      </c>
      <c r="E190" s="7" t="s">
        <v>87</v>
      </c>
      <c r="F190" s="6" t="s">
        <v>185</v>
      </c>
      <c r="G190" s="7" t="s">
        <v>237</v>
      </c>
      <c r="H190" s="8">
        <v>46175</v>
      </c>
      <c r="I190" s="7" t="s">
        <v>194</v>
      </c>
      <c r="J190" s="9">
        <v>150</v>
      </c>
      <c r="K190" s="9">
        <v>531.99929999999995</v>
      </c>
      <c r="L190" s="9">
        <v>79752.800000000003</v>
      </c>
    </row>
    <row r="191" spans="1:12" x14ac:dyDescent="0.35">
      <c r="A191" s="6" t="s">
        <v>116</v>
      </c>
      <c r="B191" s="6" t="s">
        <v>211</v>
      </c>
      <c r="C191" s="6" t="s">
        <v>210</v>
      </c>
      <c r="D191" s="7" t="s">
        <v>232</v>
      </c>
      <c r="E191" s="7" t="s">
        <v>87</v>
      </c>
      <c r="F191" s="6" t="s">
        <v>185</v>
      </c>
      <c r="G191" s="7" t="s">
        <v>235</v>
      </c>
      <c r="H191" s="8">
        <v>46174</v>
      </c>
      <c r="I191" s="7" t="s">
        <v>194</v>
      </c>
      <c r="J191" s="9">
        <v>4918</v>
      </c>
      <c r="K191" s="9">
        <v>433.56</v>
      </c>
      <c r="L191" s="9">
        <v>2130755.84</v>
      </c>
    </row>
    <row r="192" spans="1:12" x14ac:dyDescent="0.35">
      <c r="A192" s="6" t="s">
        <v>116</v>
      </c>
      <c r="B192" s="6" t="s">
        <v>211</v>
      </c>
      <c r="C192" s="6" t="s">
        <v>210</v>
      </c>
      <c r="D192" s="7" t="s">
        <v>232</v>
      </c>
      <c r="E192" s="7" t="s">
        <v>87</v>
      </c>
      <c r="F192" s="6" t="s">
        <v>185</v>
      </c>
      <c r="G192" s="7" t="str">
        <f>+VLOOKUP(E192,Detail!$E$51:$F$95,2,0)</f>
        <v>INF179K01VK7</v>
      </c>
      <c r="H192" s="8">
        <v>46174</v>
      </c>
      <c r="I192" s="7" t="s">
        <v>194</v>
      </c>
      <c r="J192" s="9">
        <v>205</v>
      </c>
      <c r="K192" s="9">
        <v>4044.9468000000002</v>
      </c>
      <c r="L192" s="9">
        <v>828822.7</v>
      </c>
    </row>
    <row r="193" spans="1:12" x14ac:dyDescent="0.35">
      <c r="A193" s="6" t="s">
        <v>116</v>
      </c>
      <c r="B193" s="6" t="s">
        <v>211</v>
      </c>
      <c r="C193" s="6" t="s">
        <v>210</v>
      </c>
      <c r="D193" s="7" t="s">
        <v>232</v>
      </c>
      <c r="E193" s="7" t="s">
        <v>87</v>
      </c>
      <c r="F193" s="6" t="s">
        <v>185</v>
      </c>
      <c r="G193" s="7" t="s">
        <v>237</v>
      </c>
      <c r="H193" s="8">
        <v>46174</v>
      </c>
      <c r="I193" s="7" t="s">
        <v>194</v>
      </c>
      <c r="J193" s="9">
        <v>1550</v>
      </c>
      <c r="K193" s="9">
        <v>527.65809999999999</v>
      </c>
      <c r="L193" s="9">
        <v>817483.96</v>
      </c>
    </row>
    <row r="194" spans="1:12" x14ac:dyDescent="0.35">
      <c r="A194" s="6" t="s">
        <v>116</v>
      </c>
      <c r="B194" s="6" t="s">
        <v>211</v>
      </c>
      <c r="C194" s="6" t="s">
        <v>210</v>
      </c>
      <c r="D194" s="7" t="s">
        <v>232</v>
      </c>
      <c r="E194" s="7" t="s">
        <v>87</v>
      </c>
      <c r="F194" s="6" t="s">
        <v>185</v>
      </c>
      <c r="G194" s="7" t="str">
        <f>+VLOOKUP(E194,Detail!$E$51:$F$95,2,0)</f>
        <v>INF179K01VK7</v>
      </c>
      <c r="H194" s="8">
        <v>46157</v>
      </c>
      <c r="I194" s="7" t="s">
        <v>195</v>
      </c>
      <c r="J194" s="9">
        <v>680</v>
      </c>
      <c r="K194" s="9">
        <v>1319.1464000000001</v>
      </c>
      <c r="L194" s="9">
        <v>897442.94</v>
      </c>
    </row>
    <row r="195" spans="1:12" x14ac:dyDescent="0.35">
      <c r="A195" s="6" t="s">
        <v>116</v>
      </c>
      <c r="B195" s="6" t="s">
        <v>211</v>
      </c>
      <c r="C195" s="6" t="s">
        <v>210</v>
      </c>
      <c r="D195" s="7" t="s">
        <v>232</v>
      </c>
      <c r="E195" s="7" t="s">
        <v>87</v>
      </c>
      <c r="F195" s="6" t="s">
        <v>185</v>
      </c>
      <c r="G195" s="7" t="s">
        <v>235</v>
      </c>
      <c r="H195" s="8">
        <v>46155</v>
      </c>
      <c r="I195" s="7" t="s">
        <v>195</v>
      </c>
      <c r="J195" s="9">
        <v>3450</v>
      </c>
      <c r="K195" s="9">
        <v>415.1207</v>
      </c>
      <c r="L195" s="9">
        <v>1432882.64</v>
      </c>
    </row>
    <row r="196" spans="1:12" x14ac:dyDescent="0.35">
      <c r="A196" s="6" t="s">
        <v>116</v>
      </c>
      <c r="B196" s="6" t="s">
        <v>211</v>
      </c>
      <c r="C196" s="6" t="s">
        <v>210</v>
      </c>
      <c r="D196" s="7" t="s">
        <v>232</v>
      </c>
      <c r="E196" s="7" t="s">
        <v>87</v>
      </c>
      <c r="F196" s="6" t="s">
        <v>185</v>
      </c>
      <c r="G196" s="7" t="s">
        <v>26</v>
      </c>
      <c r="H196" s="8">
        <v>46149</v>
      </c>
      <c r="I196" s="7" t="s">
        <v>194</v>
      </c>
      <c r="J196" s="9">
        <v>380</v>
      </c>
      <c r="K196" s="9">
        <v>1479.8140000000001</v>
      </c>
      <c r="L196" s="9">
        <v>561879.43999999994</v>
      </c>
    </row>
    <row r="197" spans="1:12" x14ac:dyDescent="0.35">
      <c r="A197" s="6" t="s">
        <v>116</v>
      </c>
      <c r="B197" s="6" t="s">
        <v>211</v>
      </c>
      <c r="C197" s="6" t="s">
        <v>210</v>
      </c>
      <c r="D197" s="7" t="s">
        <v>232</v>
      </c>
      <c r="E197" s="7" t="s">
        <v>45</v>
      </c>
      <c r="F197" s="6" t="s">
        <v>185</v>
      </c>
      <c r="G197" s="7" t="str">
        <f>+VLOOKUP(E197,Detail!$E$51:$F$95,2,0)</f>
        <v>INE018A01030</v>
      </c>
      <c r="H197" s="8">
        <v>46142</v>
      </c>
      <c r="I197" s="7" t="s">
        <v>195</v>
      </c>
      <c r="J197" s="9">
        <v>100</v>
      </c>
      <c r="K197" s="9">
        <v>4015.2658000000001</v>
      </c>
      <c r="L197" s="9">
        <v>401727.34</v>
      </c>
    </row>
    <row r="198" spans="1:12" x14ac:dyDescent="0.35">
      <c r="A198" s="6" t="s">
        <v>116</v>
      </c>
      <c r="B198" s="6" t="s">
        <v>211</v>
      </c>
      <c r="C198" s="6" t="s">
        <v>210</v>
      </c>
      <c r="D198" s="7" t="s">
        <v>232</v>
      </c>
      <c r="E198" s="7" t="s">
        <v>129</v>
      </c>
      <c r="F198" s="6" t="s">
        <v>185</v>
      </c>
      <c r="G198" s="7" t="str">
        <f>+VLOOKUP(E198,Detail!$E$51:$F$95,2,0)</f>
        <v>INE935A01035</v>
      </c>
      <c r="H198" s="8">
        <v>46135</v>
      </c>
      <c r="I198" s="7" t="s">
        <v>195</v>
      </c>
      <c r="J198" s="9">
        <v>200</v>
      </c>
      <c r="K198" s="9">
        <v>2313.4445999999998</v>
      </c>
      <c r="L198" s="9">
        <v>463147.44</v>
      </c>
    </row>
    <row r="199" spans="1:12" x14ac:dyDescent="0.35">
      <c r="A199" s="6" t="s">
        <v>116</v>
      </c>
      <c r="B199" s="6" t="s">
        <v>211</v>
      </c>
      <c r="C199" s="6" t="s">
        <v>210</v>
      </c>
      <c r="D199" s="7" t="s">
        <v>232</v>
      </c>
      <c r="E199" s="7" t="s">
        <v>39</v>
      </c>
      <c r="F199" s="6" t="s">
        <v>185</v>
      </c>
      <c r="G199" s="7" t="str">
        <f>+VLOOKUP(E199,Detail!$E$51:$F$95,2,0)</f>
        <v>INE090A01021</v>
      </c>
      <c r="H199" s="8">
        <v>46121</v>
      </c>
      <c r="I199" s="7" t="s">
        <v>195</v>
      </c>
      <c r="J199" s="9">
        <v>325</v>
      </c>
      <c r="K199" s="9">
        <v>1278.9386</v>
      </c>
      <c r="L199" s="9">
        <v>415851.25</v>
      </c>
    </row>
    <row r="200" spans="1:12" x14ac:dyDescent="0.35">
      <c r="A200" s="6" t="s">
        <v>116</v>
      </c>
      <c r="B200" s="6" t="s">
        <v>211</v>
      </c>
      <c r="C200" s="6" t="s">
        <v>210</v>
      </c>
      <c r="D200" s="7" t="s">
        <v>232</v>
      </c>
      <c r="E200" s="7" t="s">
        <v>205</v>
      </c>
      <c r="F200" s="6" t="s">
        <v>185</v>
      </c>
      <c r="G200" s="7" t="s">
        <v>237</v>
      </c>
      <c r="H200" s="8">
        <v>46121</v>
      </c>
      <c r="I200" s="7" t="s">
        <v>195</v>
      </c>
      <c r="J200" s="9">
        <v>1200</v>
      </c>
      <c r="K200" s="9">
        <v>423.08589999999998</v>
      </c>
      <c r="L200" s="9">
        <v>507942.72</v>
      </c>
    </row>
    <row r="201" spans="1:12" x14ac:dyDescent="0.35">
      <c r="A201" s="6" t="s">
        <v>116</v>
      </c>
      <c r="B201" s="6" t="s">
        <v>211</v>
      </c>
      <c r="C201" s="6" t="s">
        <v>210</v>
      </c>
      <c r="D201" s="7" t="s">
        <v>232</v>
      </c>
      <c r="E201" s="7" t="s">
        <v>25</v>
      </c>
      <c r="F201" s="6" t="s">
        <v>185</v>
      </c>
      <c r="G201" s="7" t="s">
        <v>26</v>
      </c>
      <c r="H201" s="8">
        <v>46120</v>
      </c>
      <c r="I201" s="7" t="s">
        <v>195</v>
      </c>
      <c r="J201" s="9">
        <v>732</v>
      </c>
      <c r="K201" s="9">
        <v>1335.9464</v>
      </c>
      <c r="L201" s="9">
        <v>978374.36</v>
      </c>
    </row>
    <row r="202" spans="1:12" x14ac:dyDescent="0.35">
      <c r="A202" s="6" t="s">
        <v>116</v>
      </c>
      <c r="B202" s="6" t="s">
        <v>211</v>
      </c>
      <c r="C202" s="6" t="s">
        <v>210</v>
      </c>
      <c r="D202" s="7" t="s">
        <v>232</v>
      </c>
      <c r="E202" s="7" t="s">
        <v>77</v>
      </c>
      <c r="F202" s="6" t="s">
        <v>185</v>
      </c>
      <c r="G202" s="7" t="str">
        <f>+VLOOKUP(E202,Detail!$E$51:$F$95,2,0)</f>
        <v>INE062A01020</v>
      </c>
      <c r="H202" s="8">
        <v>46120</v>
      </c>
      <c r="I202" s="7" t="s">
        <v>195</v>
      </c>
      <c r="J202" s="9">
        <v>960</v>
      </c>
      <c r="K202" s="9">
        <v>1064.9665</v>
      </c>
      <c r="L202" s="9">
        <v>1022850.43</v>
      </c>
    </row>
    <row r="203" spans="1:12" x14ac:dyDescent="0.35">
      <c r="A203" s="6" t="s">
        <v>116</v>
      </c>
      <c r="B203" s="6" t="s">
        <v>211</v>
      </c>
      <c r="C203" s="6" t="s">
        <v>210</v>
      </c>
      <c r="D203" s="7" t="s">
        <v>232</v>
      </c>
      <c r="E203" s="7" t="s">
        <v>121</v>
      </c>
      <c r="F203" s="6" t="s">
        <v>185</v>
      </c>
      <c r="G203" s="7" t="str">
        <f>+VLOOKUP(E203,Detail!$E$51:$F$95,2,0)</f>
        <v>INE216A01030</v>
      </c>
      <c r="H203" s="8">
        <v>46119</v>
      </c>
      <c r="I203" s="7" t="s">
        <v>195</v>
      </c>
      <c r="J203" s="9">
        <v>141</v>
      </c>
      <c r="K203" s="9">
        <v>5548.2124000000003</v>
      </c>
      <c r="L203" s="9">
        <v>782689.1</v>
      </c>
    </row>
    <row r="204" spans="1:12" x14ac:dyDescent="0.35">
      <c r="A204" s="6" t="s">
        <v>116</v>
      </c>
      <c r="B204" s="6" t="s">
        <v>211</v>
      </c>
      <c r="C204" s="6" t="s">
        <v>210</v>
      </c>
      <c r="D204" s="7" t="s">
        <v>232</v>
      </c>
      <c r="E204" s="7" t="s">
        <v>125</v>
      </c>
      <c r="F204" s="6" t="s">
        <v>185</v>
      </c>
      <c r="G204" s="7" t="str">
        <f>+VLOOKUP(E204,Detail!$E$51:$F$95,2,0)</f>
        <v>INE917M01012</v>
      </c>
      <c r="H204" s="8">
        <v>46119</v>
      </c>
      <c r="I204" s="7" t="s">
        <v>195</v>
      </c>
      <c r="J204" s="9">
        <v>1600</v>
      </c>
      <c r="K204" s="9">
        <v>407.9468</v>
      </c>
      <c r="L204" s="9">
        <v>653041.28</v>
      </c>
    </row>
    <row r="205" spans="1:12" x14ac:dyDescent="0.35">
      <c r="A205" s="6" t="s">
        <v>116</v>
      </c>
      <c r="B205" s="6" t="s">
        <v>211</v>
      </c>
      <c r="C205" s="6" t="s">
        <v>210</v>
      </c>
      <c r="D205" s="7" t="s">
        <v>232</v>
      </c>
      <c r="E205" s="7" t="s">
        <v>141</v>
      </c>
      <c r="F205" s="6" t="s">
        <v>185</v>
      </c>
      <c r="G205" s="7" t="str">
        <f>+VLOOKUP(E205,Detail!$E$51:$F$95,2,0)</f>
        <v>INE918Z01012</v>
      </c>
      <c r="H205" s="8">
        <v>46119</v>
      </c>
      <c r="I205" s="7" t="s">
        <v>195</v>
      </c>
      <c r="J205" s="9">
        <v>242</v>
      </c>
      <c r="K205" s="9">
        <v>3706.0571</v>
      </c>
      <c r="L205" s="9">
        <v>897314.25</v>
      </c>
    </row>
    <row r="206" spans="1:12" x14ac:dyDescent="0.35">
      <c r="A206" s="6" t="s">
        <v>116</v>
      </c>
      <c r="B206" s="6" t="s">
        <v>211</v>
      </c>
      <c r="C206" s="6" t="s">
        <v>210</v>
      </c>
      <c r="D206" s="7" t="s">
        <v>232</v>
      </c>
      <c r="E206" s="7" t="s">
        <v>143</v>
      </c>
      <c r="F206" s="6" t="s">
        <v>185</v>
      </c>
      <c r="G206" s="7" t="str">
        <f>+VLOOKUP(E206,Detail!$E$51:$F$95,2,0)</f>
        <v>INE010V01017</v>
      </c>
      <c r="H206" s="8">
        <v>46119</v>
      </c>
      <c r="I206" s="7" t="s">
        <v>195</v>
      </c>
      <c r="J206" s="9">
        <v>205</v>
      </c>
      <c r="K206" s="9">
        <v>3359.7647000000002</v>
      </c>
      <c r="L206" s="9">
        <v>689096.14</v>
      </c>
    </row>
    <row r="207" spans="1:12" x14ac:dyDescent="0.35">
      <c r="A207" s="6" t="s">
        <v>116</v>
      </c>
      <c r="B207" s="6" t="s">
        <v>211</v>
      </c>
      <c r="C207" s="6" t="s">
        <v>210</v>
      </c>
      <c r="D207" s="7" t="s">
        <v>232</v>
      </c>
      <c r="E207" s="7" t="s">
        <v>147</v>
      </c>
      <c r="F207" s="6" t="s">
        <v>185</v>
      </c>
      <c r="G207" s="7" t="str">
        <f>+VLOOKUP(E207,Detail!$E$51:$F$95,2,0)</f>
        <v>INE195A01028</v>
      </c>
      <c r="H207" s="8">
        <v>46119</v>
      </c>
      <c r="I207" s="7" t="s">
        <v>195</v>
      </c>
      <c r="J207" s="9">
        <v>180</v>
      </c>
      <c r="K207" s="9">
        <v>3666.5268999999998</v>
      </c>
      <c r="L207" s="9">
        <v>660304.82999999996</v>
      </c>
    </row>
    <row r="208" spans="1:12" x14ac:dyDescent="0.35">
      <c r="A208" s="6" t="s">
        <v>116</v>
      </c>
      <c r="B208" s="6" t="s">
        <v>211</v>
      </c>
      <c r="C208" s="6" t="s">
        <v>210</v>
      </c>
      <c r="D208" s="7" t="s">
        <v>232</v>
      </c>
      <c r="E208" s="7" t="s">
        <v>13</v>
      </c>
      <c r="F208" s="6" t="s">
        <v>185</v>
      </c>
      <c r="G208" s="7" t="str">
        <f>+VLOOKUP(E208,Detail!$E$51:$F$95,2,0)</f>
        <v>INE238A01034</v>
      </c>
      <c r="H208" s="8">
        <v>46118</v>
      </c>
      <c r="I208" s="7" t="s">
        <v>195</v>
      </c>
      <c r="J208" s="9">
        <v>1423</v>
      </c>
      <c r="K208" s="9">
        <v>1230.9871000000001</v>
      </c>
      <c r="L208" s="9">
        <v>1752990.85</v>
      </c>
    </row>
    <row r="209" spans="1:12" x14ac:dyDescent="0.35">
      <c r="A209" s="6" t="s">
        <v>116</v>
      </c>
      <c r="B209" s="6" t="s">
        <v>211</v>
      </c>
      <c r="C209" s="6" t="s">
        <v>210</v>
      </c>
      <c r="D209" s="7" t="s">
        <v>232</v>
      </c>
      <c r="E209" s="7" t="s">
        <v>119</v>
      </c>
      <c r="F209" s="6" t="s">
        <v>185</v>
      </c>
      <c r="G209" s="7" t="str">
        <f>+VLOOKUP(E209,Detail!$E$51:$F$95,2,0)</f>
        <v>INE917I01010</v>
      </c>
      <c r="H209" s="8">
        <v>46118</v>
      </c>
      <c r="I209" s="7" t="s">
        <v>195</v>
      </c>
      <c r="J209" s="9">
        <v>78</v>
      </c>
      <c r="K209" s="9">
        <v>8931.6023999999998</v>
      </c>
      <c r="L209" s="9">
        <v>697180.52</v>
      </c>
    </row>
    <row r="210" spans="1:12" x14ac:dyDescent="0.35">
      <c r="A210" s="6" t="s">
        <v>116</v>
      </c>
      <c r="B210" s="6" t="s">
        <v>211</v>
      </c>
      <c r="C210" s="6" t="s">
        <v>210</v>
      </c>
      <c r="D210" s="7" t="s">
        <v>232</v>
      </c>
      <c r="E210" s="7" t="s">
        <v>69</v>
      </c>
      <c r="F210" s="6" t="s">
        <v>185</v>
      </c>
      <c r="G210" s="7" t="str">
        <f>+VLOOKUP(E210,Detail!$E$51:$F$95,2,0)</f>
        <v>INE296A01032</v>
      </c>
      <c r="H210" s="8">
        <v>46118</v>
      </c>
      <c r="I210" s="7" t="s">
        <v>195</v>
      </c>
      <c r="J210" s="9">
        <v>1414</v>
      </c>
      <c r="K210" s="9">
        <v>850.67669999999998</v>
      </c>
      <c r="L210" s="9">
        <v>1203746.96</v>
      </c>
    </row>
    <row r="211" spans="1:12" x14ac:dyDescent="0.35">
      <c r="A211" s="6" t="s">
        <v>116</v>
      </c>
      <c r="B211" s="6" t="s">
        <v>211</v>
      </c>
      <c r="C211" s="6" t="s">
        <v>210</v>
      </c>
      <c r="D211" s="7" t="s">
        <v>232</v>
      </c>
      <c r="E211" s="7" t="s">
        <v>27</v>
      </c>
      <c r="F211" s="6" t="s">
        <v>185</v>
      </c>
      <c r="G211" s="7" t="str">
        <f>+VLOOKUP(E211,Detail!$E$51:$F$95,2,0)</f>
        <v>INE397D01024</v>
      </c>
      <c r="H211" s="8">
        <v>46118</v>
      </c>
      <c r="I211" s="7" t="s">
        <v>195</v>
      </c>
      <c r="J211" s="9">
        <v>502</v>
      </c>
      <c r="K211" s="9">
        <v>1791.9781</v>
      </c>
      <c r="L211" s="9">
        <v>900238.71</v>
      </c>
    </row>
    <row r="212" spans="1:12" x14ac:dyDescent="0.35">
      <c r="A212" s="6" t="s">
        <v>116</v>
      </c>
      <c r="B212" s="6" t="s">
        <v>211</v>
      </c>
      <c r="C212" s="6" t="s">
        <v>210</v>
      </c>
      <c r="D212" s="7" t="s">
        <v>232</v>
      </c>
      <c r="E212" s="7" t="s">
        <v>121</v>
      </c>
      <c r="F212" s="6" t="s">
        <v>185</v>
      </c>
      <c r="G212" s="7" t="str">
        <f>+VLOOKUP(E212,Detail!$E$51:$F$95,2,0)</f>
        <v>INE216A01030</v>
      </c>
      <c r="H212" s="8">
        <v>46118</v>
      </c>
      <c r="I212" s="7" t="s">
        <v>195</v>
      </c>
      <c r="J212" s="9">
        <v>55</v>
      </c>
      <c r="K212" s="9">
        <v>5485.8951999999999</v>
      </c>
      <c r="L212" s="9">
        <v>301947.52000000002</v>
      </c>
    </row>
    <row r="213" spans="1:12" x14ac:dyDescent="0.35">
      <c r="A213" s="6" t="s">
        <v>116</v>
      </c>
      <c r="B213" s="6" t="s">
        <v>211</v>
      </c>
      <c r="C213" s="6" t="s">
        <v>210</v>
      </c>
      <c r="D213" s="7" t="s">
        <v>232</v>
      </c>
      <c r="E213" s="7" t="s">
        <v>123</v>
      </c>
      <c r="F213" s="6" t="s">
        <v>185</v>
      </c>
      <c r="G213" s="7" t="str">
        <f>+VLOOKUP(E213,Detail!$E$51:$F$95,2,0)</f>
        <v>INE00R701025</v>
      </c>
      <c r="H213" s="8">
        <v>46118</v>
      </c>
      <c r="I213" s="7" t="s">
        <v>195</v>
      </c>
      <c r="J213" s="9">
        <v>492</v>
      </c>
      <c r="K213" s="9">
        <v>1868.0628999999999</v>
      </c>
      <c r="L213" s="9">
        <v>919767.09</v>
      </c>
    </row>
    <row r="214" spans="1:12" x14ac:dyDescent="0.35">
      <c r="A214" s="6" t="s">
        <v>116</v>
      </c>
      <c r="B214" s="6" t="s">
        <v>211</v>
      </c>
      <c r="C214" s="6" t="s">
        <v>210</v>
      </c>
      <c r="D214" s="7" t="s">
        <v>232</v>
      </c>
      <c r="E214" s="7" t="s">
        <v>131</v>
      </c>
      <c r="F214" s="6" t="s">
        <v>185</v>
      </c>
      <c r="G214" s="7" t="str">
        <f>+VLOOKUP(E214,Detail!$E$51:$F$95,2,0)</f>
        <v>INE101D01020</v>
      </c>
      <c r="H214" s="8">
        <v>46118</v>
      </c>
      <c r="I214" s="7" t="s">
        <v>195</v>
      </c>
      <c r="J214" s="9">
        <v>1106</v>
      </c>
      <c r="K214" s="9">
        <v>641.19899999999996</v>
      </c>
      <c r="L214" s="9">
        <v>709690.89</v>
      </c>
    </row>
    <row r="215" spans="1:12" x14ac:dyDescent="0.35">
      <c r="A215" s="6" t="s">
        <v>116</v>
      </c>
      <c r="B215" s="6" t="s">
        <v>211</v>
      </c>
      <c r="C215" s="6" t="s">
        <v>210</v>
      </c>
      <c r="D215" s="7" t="s">
        <v>232</v>
      </c>
      <c r="E215" s="7" t="s">
        <v>133</v>
      </c>
      <c r="F215" s="6" t="s">
        <v>185</v>
      </c>
      <c r="G215" s="7" t="str">
        <f>+VLOOKUP(E215,Detail!$E$51:$F$95,2,0)</f>
        <v>INE030A01027</v>
      </c>
      <c r="H215" s="8">
        <v>46118</v>
      </c>
      <c r="I215" s="7" t="s">
        <v>195</v>
      </c>
      <c r="J215" s="9">
        <v>443</v>
      </c>
      <c r="K215" s="9">
        <v>2071.3168999999998</v>
      </c>
      <c r="L215" s="9">
        <v>918272.42</v>
      </c>
    </row>
    <row r="216" spans="1:12" x14ac:dyDescent="0.35">
      <c r="A216" s="6" t="s">
        <v>116</v>
      </c>
      <c r="B216" s="6" t="s">
        <v>211</v>
      </c>
      <c r="C216" s="6" t="s">
        <v>210</v>
      </c>
      <c r="D216" s="7" t="s">
        <v>232</v>
      </c>
      <c r="E216" s="7" t="s">
        <v>39</v>
      </c>
      <c r="F216" s="6" t="s">
        <v>185</v>
      </c>
      <c r="G216" s="7" t="str">
        <f>+VLOOKUP(E216,Detail!$E$51:$F$95,2,0)</f>
        <v>INE090A01021</v>
      </c>
      <c r="H216" s="8">
        <v>46118</v>
      </c>
      <c r="I216" s="7" t="s">
        <v>195</v>
      </c>
      <c r="J216" s="9">
        <v>1497</v>
      </c>
      <c r="K216" s="9">
        <v>1230.3713</v>
      </c>
      <c r="L216" s="9">
        <v>1843228.86</v>
      </c>
    </row>
    <row r="217" spans="1:12" x14ac:dyDescent="0.35">
      <c r="A217" s="6" t="s">
        <v>116</v>
      </c>
      <c r="B217" s="6" t="s">
        <v>211</v>
      </c>
      <c r="C217" s="6" t="s">
        <v>210</v>
      </c>
      <c r="D217" s="7" t="s">
        <v>232</v>
      </c>
      <c r="E217" s="7" t="s">
        <v>137</v>
      </c>
      <c r="F217" s="6" t="s">
        <v>185</v>
      </c>
      <c r="G217" s="7" t="str">
        <f>+VLOOKUP(E217,Detail!$E$51:$F$95,2,0)</f>
        <v>INE765G01017</v>
      </c>
      <c r="H217" s="8">
        <v>46118</v>
      </c>
      <c r="I217" s="7" t="s">
        <v>195</v>
      </c>
      <c r="J217" s="9">
        <v>545</v>
      </c>
      <c r="K217" s="9">
        <v>1712.3421000000001</v>
      </c>
      <c r="L217" s="9">
        <v>933917.01</v>
      </c>
    </row>
    <row r="218" spans="1:12" x14ac:dyDescent="0.35">
      <c r="A218" s="6" t="s">
        <v>116</v>
      </c>
      <c r="B218" s="6" t="s">
        <v>211</v>
      </c>
      <c r="C218" s="6" t="s">
        <v>210</v>
      </c>
      <c r="D218" s="7" t="s">
        <v>232</v>
      </c>
      <c r="E218" s="7" t="s">
        <v>41</v>
      </c>
      <c r="F218" s="6" t="s">
        <v>185</v>
      </c>
      <c r="G218" s="7" t="str">
        <f>+VLOOKUP(E218,Detail!$E$51:$F$95,2,0)</f>
        <v>INE646L01027</v>
      </c>
      <c r="H218" s="8">
        <v>46118</v>
      </c>
      <c r="I218" s="7" t="s">
        <v>195</v>
      </c>
      <c r="J218" s="9">
        <v>161</v>
      </c>
      <c r="K218" s="9">
        <v>4263.3146999999999</v>
      </c>
      <c r="L218" s="9">
        <v>686901.61</v>
      </c>
    </row>
    <row r="219" spans="1:12" x14ac:dyDescent="0.35">
      <c r="A219" s="6" t="s">
        <v>116</v>
      </c>
      <c r="B219" s="6" t="s">
        <v>211</v>
      </c>
      <c r="C219" s="6" t="s">
        <v>210</v>
      </c>
      <c r="D219" s="7" t="s">
        <v>232</v>
      </c>
      <c r="E219" s="7" t="s">
        <v>143</v>
      </c>
      <c r="F219" s="6" t="s">
        <v>185</v>
      </c>
      <c r="G219" s="7" t="str">
        <f>+VLOOKUP(E219,Detail!$E$51:$F$95,2,0)</f>
        <v>INE010V01017</v>
      </c>
      <c r="H219" s="8">
        <v>46118</v>
      </c>
      <c r="I219" s="7" t="s">
        <v>195</v>
      </c>
      <c r="J219" s="9">
        <v>5</v>
      </c>
      <c r="K219" s="9">
        <v>3402.77</v>
      </c>
      <c r="L219" s="9">
        <v>17026.439999999999</v>
      </c>
    </row>
    <row r="220" spans="1:12" x14ac:dyDescent="0.35">
      <c r="A220" s="6" t="s">
        <v>116</v>
      </c>
      <c r="B220" s="6" t="s">
        <v>211</v>
      </c>
      <c r="C220" s="6" t="s">
        <v>210</v>
      </c>
      <c r="D220" s="7" t="s">
        <v>232</v>
      </c>
      <c r="E220" s="7" t="s">
        <v>45</v>
      </c>
      <c r="F220" s="6" t="s">
        <v>185</v>
      </c>
      <c r="G220" s="7" t="str">
        <f>+VLOOKUP(E220,Detail!$E$51:$F$95,2,0)</f>
        <v>INE018A01030</v>
      </c>
      <c r="H220" s="8">
        <v>46118</v>
      </c>
      <c r="I220" s="7" t="s">
        <v>195</v>
      </c>
      <c r="J220" s="9">
        <v>246</v>
      </c>
      <c r="K220" s="9">
        <v>3722.7914999999998</v>
      </c>
      <c r="L220" s="9">
        <v>916484.42</v>
      </c>
    </row>
    <row r="221" spans="1:12" x14ac:dyDescent="0.35">
      <c r="A221" s="6" t="s">
        <v>116</v>
      </c>
      <c r="B221" s="6" t="s">
        <v>211</v>
      </c>
      <c r="C221" s="6" t="s">
        <v>210</v>
      </c>
      <c r="D221" s="7" t="s">
        <v>232</v>
      </c>
      <c r="E221" s="7" t="s">
        <v>19</v>
      </c>
      <c r="F221" s="6" t="s">
        <v>185</v>
      </c>
      <c r="G221" s="7" t="str">
        <f>+VLOOKUP(E221,Detail!$E$51:$F$95,2,0)</f>
        <v>INE180A01020</v>
      </c>
      <c r="H221" s="8">
        <v>46118</v>
      </c>
      <c r="I221" s="7" t="s">
        <v>195</v>
      </c>
      <c r="J221" s="9">
        <v>559</v>
      </c>
      <c r="K221" s="9">
        <v>1490.6489999999999</v>
      </c>
      <c r="L221" s="9">
        <v>833889.42</v>
      </c>
    </row>
    <row r="222" spans="1:12" x14ac:dyDescent="0.35">
      <c r="A222" s="6" t="s">
        <v>116</v>
      </c>
      <c r="B222" s="6" t="s">
        <v>211</v>
      </c>
      <c r="C222" s="6" t="s">
        <v>210</v>
      </c>
      <c r="D222" s="7" t="s">
        <v>232</v>
      </c>
      <c r="E222" s="7" t="s">
        <v>21</v>
      </c>
      <c r="F222" s="6" t="s">
        <v>185</v>
      </c>
      <c r="G222" s="7" t="str">
        <f>+VLOOKUP(E222,Detail!$E$51:$F$95,2,0)</f>
        <v>INE982J01020</v>
      </c>
      <c r="H222" s="8">
        <v>46118</v>
      </c>
      <c r="I222" s="7" t="s">
        <v>195</v>
      </c>
      <c r="J222" s="9">
        <v>931</v>
      </c>
      <c r="K222" s="9">
        <v>1028.2705000000001</v>
      </c>
      <c r="L222" s="9">
        <v>958028.24</v>
      </c>
    </row>
    <row r="223" spans="1:12" x14ac:dyDescent="0.35">
      <c r="A223" s="6" t="s">
        <v>116</v>
      </c>
      <c r="B223" s="6" t="s">
        <v>211</v>
      </c>
      <c r="C223" s="6" t="s">
        <v>210</v>
      </c>
      <c r="D223" s="7" t="s">
        <v>232</v>
      </c>
      <c r="E223" s="7" t="s">
        <v>75</v>
      </c>
      <c r="F223" s="6" t="s">
        <v>185</v>
      </c>
      <c r="G223" s="7" t="str">
        <f>+VLOOKUP(E223,Detail!$E$51:$F$95,2,0)</f>
        <v>INE721A01047</v>
      </c>
      <c r="H223" s="8">
        <v>46118</v>
      </c>
      <c r="I223" s="7" t="s">
        <v>195</v>
      </c>
      <c r="J223" s="9">
        <v>1228</v>
      </c>
      <c r="K223" s="9">
        <v>915.87750000000005</v>
      </c>
      <c r="L223" s="9">
        <v>1125529.79</v>
      </c>
    </row>
    <row r="224" spans="1:12" x14ac:dyDescent="0.35">
      <c r="A224" s="6" t="s">
        <v>116</v>
      </c>
      <c r="B224" s="6" t="s">
        <v>211</v>
      </c>
      <c r="C224" s="6" t="s">
        <v>210</v>
      </c>
      <c r="D224" s="7" t="s">
        <v>232</v>
      </c>
      <c r="E224" s="7" t="s">
        <v>147</v>
      </c>
      <c r="F224" s="6" t="s">
        <v>185</v>
      </c>
      <c r="G224" s="7" t="str">
        <f>+VLOOKUP(E224,Detail!$E$51:$F$95,2,0)</f>
        <v>INE195A01028</v>
      </c>
      <c r="H224" s="8">
        <v>46118</v>
      </c>
      <c r="I224" s="7" t="s">
        <v>195</v>
      </c>
      <c r="J224" s="9">
        <v>210</v>
      </c>
      <c r="K224" s="9">
        <v>3695.2332000000001</v>
      </c>
      <c r="L224" s="9">
        <v>776573.22</v>
      </c>
    </row>
    <row r="225" spans="1:12" x14ac:dyDescent="0.35">
      <c r="A225" s="6" t="s">
        <v>116</v>
      </c>
      <c r="B225" s="6" t="s">
        <v>211</v>
      </c>
      <c r="C225" s="6" t="s">
        <v>210</v>
      </c>
      <c r="D225" s="7" t="s">
        <v>232</v>
      </c>
      <c r="E225" s="7" t="s">
        <v>101</v>
      </c>
      <c r="F225" s="6" t="s">
        <v>185</v>
      </c>
      <c r="G225" s="7" t="str">
        <f>+VLOOKUP(E225,Detail!$E$51:$F$95,2,0)</f>
        <v>INE849A01020</v>
      </c>
      <c r="H225" s="8">
        <v>46118</v>
      </c>
      <c r="I225" s="7" t="s">
        <v>195</v>
      </c>
      <c r="J225" s="9">
        <v>204</v>
      </c>
      <c r="K225" s="9">
        <v>3828.364</v>
      </c>
      <c r="L225" s="9">
        <v>781564.19</v>
      </c>
    </row>
    <row r="226" spans="1:12" x14ac:dyDescent="0.35">
      <c r="A226" s="6" t="s">
        <v>116</v>
      </c>
      <c r="B226" s="6" t="s">
        <v>211</v>
      </c>
      <c r="C226" s="6" t="s">
        <v>210</v>
      </c>
      <c r="D226" s="7" t="s">
        <v>232</v>
      </c>
      <c r="E226" s="7" t="s">
        <v>149</v>
      </c>
      <c r="F226" s="6" t="s">
        <v>185</v>
      </c>
      <c r="G226" s="7" t="str">
        <f>+VLOOKUP(E226,Detail!$E$51:$F$95,2,0)</f>
        <v>INE481G01011</v>
      </c>
      <c r="H226" s="8">
        <v>46118</v>
      </c>
      <c r="I226" s="7" t="s">
        <v>195</v>
      </c>
      <c r="J226" s="9">
        <v>75</v>
      </c>
      <c r="K226" s="9">
        <v>10869.0326</v>
      </c>
      <c r="L226" s="9">
        <v>815780.68</v>
      </c>
    </row>
    <row r="227" spans="1:12" x14ac:dyDescent="0.35">
      <c r="A227" s="6" t="s">
        <v>116</v>
      </c>
      <c r="B227" s="6" t="s">
        <v>211</v>
      </c>
      <c r="C227" s="6" t="s">
        <v>210</v>
      </c>
      <c r="D227" s="7" t="s">
        <v>232</v>
      </c>
      <c r="E227" s="7" t="s">
        <v>205</v>
      </c>
      <c r="F227" s="6" t="s">
        <v>185</v>
      </c>
      <c r="G227" s="7" t="s">
        <v>237</v>
      </c>
      <c r="H227" s="8">
        <v>46118</v>
      </c>
      <c r="I227" s="7" t="s">
        <v>195</v>
      </c>
      <c r="J227" s="9">
        <v>2175</v>
      </c>
      <c r="K227" s="9">
        <v>400.97739999999999</v>
      </c>
      <c r="L227" s="9">
        <v>872771.17</v>
      </c>
    </row>
    <row r="228" spans="1:12" x14ac:dyDescent="0.35">
      <c r="A228" s="6" t="s">
        <v>116</v>
      </c>
      <c r="B228" s="6" t="s">
        <v>211</v>
      </c>
      <c r="C228" s="6" t="s">
        <v>210</v>
      </c>
      <c r="D228" s="7" t="s">
        <v>232</v>
      </c>
      <c r="E228" s="7" t="s">
        <v>143</v>
      </c>
      <c r="F228" s="6" t="s">
        <v>185</v>
      </c>
      <c r="G228" s="7" t="str">
        <f>+VLOOKUP(E228,Detail!$E$51:$F$95,2,0)</f>
        <v>INE010V01017</v>
      </c>
      <c r="H228" s="8">
        <v>46113</v>
      </c>
      <c r="I228" s="7" t="s">
        <v>195</v>
      </c>
      <c r="J228" s="9">
        <v>225</v>
      </c>
      <c r="K228" s="9">
        <v>3318.7258000000002</v>
      </c>
      <c r="L228" s="9">
        <v>747453.31</v>
      </c>
    </row>
    <row r="229" spans="1:12" x14ac:dyDescent="0.35">
      <c r="A229" s="6" t="s">
        <v>116</v>
      </c>
      <c r="B229" s="6" t="s">
        <v>211</v>
      </c>
      <c r="C229" s="6" t="s">
        <v>210</v>
      </c>
      <c r="D229" s="7" t="s">
        <v>232</v>
      </c>
      <c r="E229" s="7" t="s">
        <v>125</v>
      </c>
      <c r="F229" s="6" t="s">
        <v>185</v>
      </c>
      <c r="G229" s="7" t="str">
        <f>+VLOOKUP(E229,Detail!$E$51:$F$95,2,0)</f>
        <v>INE917M01012</v>
      </c>
      <c r="H229" s="8">
        <v>46111</v>
      </c>
      <c r="I229" s="7" t="s">
        <v>195</v>
      </c>
      <c r="J229" s="9">
        <v>40</v>
      </c>
      <c r="K229" s="9">
        <v>393.69229999999999</v>
      </c>
      <c r="L229" s="9">
        <v>15759.34</v>
      </c>
    </row>
    <row r="230" spans="1:12" x14ac:dyDescent="0.35">
      <c r="A230" s="6" t="s">
        <v>116</v>
      </c>
      <c r="B230" s="6" t="s">
        <v>211</v>
      </c>
      <c r="C230" s="6" t="s">
        <v>210</v>
      </c>
      <c r="D230" s="7" t="s">
        <v>232</v>
      </c>
      <c r="E230" s="7" t="s">
        <v>155</v>
      </c>
      <c r="F230" s="6" t="s">
        <v>185</v>
      </c>
      <c r="G230" s="7" t="str">
        <f>+VLOOKUP(E230,Detail!$E$51:$F$95,2,0)</f>
        <v>INE054A01027</v>
      </c>
      <c r="H230" s="8">
        <v>46111</v>
      </c>
      <c r="I230" s="7" t="s">
        <v>195</v>
      </c>
      <c r="J230" s="9">
        <v>700</v>
      </c>
      <c r="K230" s="9">
        <v>308.87430000000001</v>
      </c>
      <c r="L230" s="9">
        <v>216372.03</v>
      </c>
    </row>
    <row r="231" spans="1:12" x14ac:dyDescent="0.35">
      <c r="A231" s="6" t="s">
        <v>116</v>
      </c>
      <c r="B231" s="6" t="s">
        <v>211</v>
      </c>
      <c r="C231" s="6" t="s">
        <v>210</v>
      </c>
      <c r="D231" s="7" t="s">
        <v>232</v>
      </c>
      <c r="E231" s="7" t="s">
        <v>25</v>
      </c>
      <c r="F231" s="6" t="s">
        <v>185</v>
      </c>
      <c r="G231" s="7" t="s">
        <v>26</v>
      </c>
      <c r="H231" s="8">
        <v>46108</v>
      </c>
      <c r="I231" s="7" t="s">
        <v>195</v>
      </c>
      <c r="J231" s="9">
        <v>251</v>
      </c>
      <c r="K231" s="9">
        <v>1314.3625</v>
      </c>
      <c r="L231" s="9">
        <v>330069.95</v>
      </c>
    </row>
    <row r="232" spans="1:12" x14ac:dyDescent="0.35">
      <c r="A232" s="6" t="s">
        <v>116</v>
      </c>
      <c r="B232" s="6" t="s">
        <v>211</v>
      </c>
      <c r="C232" s="6" t="s">
        <v>210</v>
      </c>
      <c r="D232" s="7" t="s">
        <v>232</v>
      </c>
      <c r="E232" s="7" t="s">
        <v>13</v>
      </c>
      <c r="F232" s="6" t="s">
        <v>185</v>
      </c>
      <c r="G232" s="7" t="str">
        <f>+VLOOKUP(E232,Detail!$E$51:$F$95,2,0)</f>
        <v>INE238A01034</v>
      </c>
      <c r="H232" s="8">
        <v>46108</v>
      </c>
      <c r="I232" s="7" t="s">
        <v>195</v>
      </c>
      <c r="J232" s="9">
        <v>335</v>
      </c>
      <c r="K232" s="9">
        <v>1207.2344000000001</v>
      </c>
      <c r="L232" s="9">
        <v>404625.73</v>
      </c>
    </row>
    <row r="233" spans="1:12" x14ac:dyDescent="0.35">
      <c r="A233" s="6" t="s">
        <v>116</v>
      </c>
      <c r="B233" s="6" t="s">
        <v>211</v>
      </c>
      <c r="C233" s="6" t="s">
        <v>210</v>
      </c>
      <c r="D233" s="7" t="s">
        <v>232</v>
      </c>
      <c r="E233" s="7" t="s">
        <v>119</v>
      </c>
      <c r="F233" s="6" t="s">
        <v>185</v>
      </c>
      <c r="G233" s="7" t="str">
        <f>+VLOOKUP(E233,Detail!$E$51:$F$95,2,0)</f>
        <v>INE917I01010</v>
      </c>
      <c r="H233" s="8">
        <v>46108</v>
      </c>
      <c r="I233" s="7" t="s">
        <v>195</v>
      </c>
      <c r="J233" s="9">
        <v>38</v>
      </c>
      <c r="K233" s="9">
        <v>8952.0571999999993</v>
      </c>
      <c r="L233" s="9">
        <v>340348.26</v>
      </c>
    </row>
    <row r="234" spans="1:12" x14ac:dyDescent="0.35">
      <c r="A234" s="6" t="s">
        <v>116</v>
      </c>
      <c r="B234" s="6" t="s">
        <v>211</v>
      </c>
      <c r="C234" s="6" t="s">
        <v>210</v>
      </c>
      <c r="D234" s="7" t="s">
        <v>232</v>
      </c>
      <c r="E234" s="7" t="s">
        <v>69</v>
      </c>
      <c r="F234" s="6" t="s">
        <v>185</v>
      </c>
      <c r="G234" s="7" t="str">
        <f>+VLOOKUP(E234,Detail!$E$51:$F$95,2,0)</f>
        <v>INE296A01032</v>
      </c>
      <c r="H234" s="8">
        <v>46108</v>
      </c>
      <c r="I234" s="7" t="s">
        <v>195</v>
      </c>
      <c r="J234" s="9">
        <v>552</v>
      </c>
      <c r="K234" s="9">
        <v>854.28380000000004</v>
      </c>
      <c r="L234" s="9">
        <v>471800.42</v>
      </c>
    </row>
    <row r="235" spans="1:12" x14ac:dyDescent="0.35">
      <c r="A235" s="6" t="s">
        <v>116</v>
      </c>
      <c r="B235" s="6" t="s">
        <v>211</v>
      </c>
      <c r="C235" s="6" t="s">
        <v>210</v>
      </c>
      <c r="D235" s="7" t="s">
        <v>232</v>
      </c>
      <c r="E235" s="7" t="s">
        <v>27</v>
      </c>
      <c r="F235" s="6" t="s">
        <v>185</v>
      </c>
      <c r="G235" s="7" t="str">
        <f>+VLOOKUP(E235,Detail!$E$51:$F$95,2,0)</f>
        <v>INE397D01024</v>
      </c>
      <c r="H235" s="8">
        <v>46108</v>
      </c>
      <c r="I235" s="7" t="s">
        <v>195</v>
      </c>
      <c r="J235" s="9">
        <v>213</v>
      </c>
      <c r="K235" s="9">
        <v>1836.0341000000001</v>
      </c>
      <c r="L235" s="9">
        <v>391270.79</v>
      </c>
    </row>
    <row r="236" spans="1:12" x14ac:dyDescent="0.35">
      <c r="A236" s="6" t="s">
        <v>116</v>
      </c>
      <c r="B236" s="6" t="s">
        <v>211</v>
      </c>
      <c r="C236" s="6" t="s">
        <v>210</v>
      </c>
      <c r="D236" s="7" t="s">
        <v>232</v>
      </c>
      <c r="E236" s="7" t="s">
        <v>123</v>
      </c>
      <c r="F236" s="6" t="s">
        <v>185</v>
      </c>
      <c r="G236" s="7" t="str">
        <f>+VLOOKUP(E236,Detail!$E$51:$F$95,2,0)</f>
        <v>INE00R701025</v>
      </c>
      <c r="H236" s="8">
        <v>46108</v>
      </c>
      <c r="I236" s="7" t="s">
        <v>195</v>
      </c>
      <c r="J236" s="9">
        <v>187</v>
      </c>
      <c r="K236" s="9">
        <v>1858.4933000000001</v>
      </c>
      <c r="L236" s="9">
        <v>347712.01</v>
      </c>
    </row>
    <row r="237" spans="1:12" x14ac:dyDescent="0.35">
      <c r="A237" s="6" t="s">
        <v>116</v>
      </c>
      <c r="B237" s="6" t="s">
        <v>211</v>
      </c>
      <c r="C237" s="6" t="s">
        <v>210</v>
      </c>
      <c r="D237" s="7" t="s">
        <v>232</v>
      </c>
      <c r="E237" s="7" t="s">
        <v>125</v>
      </c>
      <c r="F237" s="6" t="s">
        <v>185</v>
      </c>
      <c r="G237" s="7" t="str">
        <f>+VLOOKUP(E237,Detail!$E$51:$F$95,2,0)</f>
        <v>INE917M01012</v>
      </c>
      <c r="H237" s="8">
        <v>46108</v>
      </c>
      <c r="I237" s="7" t="s">
        <v>195</v>
      </c>
      <c r="J237" s="9">
        <v>800</v>
      </c>
      <c r="K237" s="9">
        <v>387.63159999999999</v>
      </c>
      <c r="L237" s="9">
        <v>310260.32</v>
      </c>
    </row>
    <row r="238" spans="1:12" x14ac:dyDescent="0.35">
      <c r="A238" s="6" t="s">
        <v>116</v>
      </c>
      <c r="B238" s="6" t="s">
        <v>211</v>
      </c>
      <c r="C238" s="6" t="s">
        <v>210</v>
      </c>
      <c r="D238" s="7" t="s">
        <v>232</v>
      </c>
      <c r="E238" s="7" t="s">
        <v>131</v>
      </c>
      <c r="F238" s="6" t="s">
        <v>185</v>
      </c>
      <c r="G238" s="7" t="str">
        <f>+VLOOKUP(E238,Detail!$E$51:$F$95,2,0)</f>
        <v>INE101D01020</v>
      </c>
      <c r="H238" s="8">
        <v>46108</v>
      </c>
      <c r="I238" s="7" t="s">
        <v>195</v>
      </c>
      <c r="J238" s="9">
        <v>305</v>
      </c>
      <c r="K238" s="9">
        <v>629.64110000000005</v>
      </c>
      <c r="L238" s="9">
        <v>192136.55</v>
      </c>
    </row>
    <row r="239" spans="1:12" x14ac:dyDescent="0.35">
      <c r="A239" s="6" t="s">
        <v>116</v>
      </c>
      <c r="B239" s="6" t="s">
        <v>211</v>
      </c>
      <c r="C239" s="6" t="s">
        <v>210</v>
      </c>
      <c r="D239" s="7" t="s">
        <v>232</v>
      </c>
      <c r="E239" s="7" t="s">
        <v>133</v>
      </c>
      <c r="F239" s="6" t="s">
        <v>185</v>
      </c>
      <c r="G239" s="7" t="str">
        <f>+VLOOKUP(E239,Detail!$E$51:$F$95,2,0)</f>
        <v>INE030A01027</v>
      </c>
      <c r="H239" s="8">
        <v>46108</v>
      </c>
      <c r="I239" s="7" t="s">
        <v>195</v>
      </c>
      <c r="J239" s="9">
        <v>139</v>
      </c>
      <c r="K239" s="9">
        <v>2077.2179000000001</v>
      </c>
      <c r="L239" s="9">
        <v>288877.65999999997</v>
      </c>
    </row>
    <row r="240" spans="1:12" x14ac:dyDescent="0.35">
      <c r="A240" s="6" t="s">
        <v>116</v>
      </c>
      <c r="B240" s="6" t="s">
        <v>211</v>
      </c>
      <c r="C240" s="6" t="s">
        <v>210</v>
      </c>
      <c r="D240" s="7" t="s">
        <v>232</v>
      </c>
      <c r="E240" s="7" t="s">
        <v>39</v>
      </c>
      <c r="F240" s="6" t="s">
        <v>185</v>
      </c>
      <c r="G240" s="7" t="str">
        <f>+VLOOKUP(E240,Detail!$E$51:$F$95,2,0)</f>
        <v>INE090A01021</v>
      </c>
      <c r="H240" s="8">
        <v>46108</v>
      </c>
      <c r="I240" s="7" t="s">
        <v>195</v>
      </c>
      <c r="J240" s="9">
        <v>582</v>
      </c>
      <c r="K240" s="9">
        <v>1239.0253</v>
      </c>
      <c r="L240" s="9">
        <v>721473.28</v>
      </c>
    </row>
    <row r="241" spans="1:12" x14ac:dyDescent="0.35">
      <c r="A241" s="6" t="s">
        <v>116</v>
      </c>
      <c r="B241" s="6" t="s">
        <v>211</v>
      </c>
      <c r="C241" s="6" t="s">
        <v>210</v>
      </c>
      <c r="D241" s="7" t="s">
        <v>232</v>
      </c>
      <c r="E241" s="7" t="s">
        <v>137</v>
      </c>
      <c r="F241" s="6" t="s">
        <v>185</v>
      </c>
      <c r="G241" s="7" t="str">
        <f>+VLOOKUP(E241,Detail!$E$51:$F$95,2,0)</f>
        <v>INE765G01017</v>
      </c>
      <c r="H241" s="8">
        <v>46108</v>
      </c>
      <c r="I241" s="7" t="s">
        <v>195</v>
      </c>
      <c r="J241" s="9">
        <v>250</v>
      </c>
      <c r="K241" s="9">
        <v>1746.5173</v>
      </c>
      <c r="L241" s="9">
        <v>436847.66</v>
      </c>
    </row>
    <row r="242" spans="1:12" x14ac:dyDescent="0.35">
      <c r="A242" s="6" t="s">
        <v>116</v>
      </c>
      <c r="B242" s="6" t="s">
        <v>211</v>
      </c>
      <c r="C242" s="6" t="s">
        <v>210</v>
      </c>
      <c r="D242" s="7" t="s">
        <v>232</v>
      </c>
      <c r="E242" s="7" t="s">
        <v>41</v>
      </c>
      <c r="F242" s="6" t="s">
        <v>185</v>
      </c>
      <c r="G242" s="7" t="str">
        <f>+VLOOKUP(E242,Detail!$E$51:$F$95,2,0)</f>
        <v>INE646L01027</v>
      </c>
      <c r="H242" s="8">
        <v>46108</v>
      </c>
      <c r="I242" s="7" t="s">
        <v>195</v>
      </c>
      <c r="J242" s="9">
        <v>62</v>
      </c>
      <c r="K242" s="9">
        <v>4117.7876999999999</v>
      </c>
      <c r="L242" s="9">
        <v>255430.49</v>
      </c>
    </row>
    <row r="243" spans="1:12" x14ac:dyDescent="0.35">
      <c r="A243" s="6" t="s">
        <v>116</v>
      </c>
      <c r="B243" s="6" t="s">
        <v>211</v>
      </c>
      <c r="C243" s="6" t="s">
        <v>210</v>
      </c>
      <c r="D243" s="7" t="s">
        <v>232</v>
      </c>
      <c r="E243" s="7" t="s">
        <v>141</v>
      </c>
      <c r="F243" s="6" t="s">
        <v>185</v>
      </c>
      <c r="G243" s="7" t="str">
        <f>+VLOOKUP(E243,Detail!$E$51:$F$95,2,0)</f>
        <v>INE918Z01012</v>
      </c>
      <c r="H243" s="8">
        <v>46108</v>
      </c>
      <c r="I243" s="7" t="s">
        <v>195</v>
      </c>
      <c r="J243" s="9">
        <v>97</v>
      </c>
      <c r="K243" s="9">
        <v>3654.6305000000002</v>
      </c>
      <c r="L243" s="9">
        <v>354676.47</v>
      </c>
    </row>
    <row r="244" spans="1:12" x14ac:dyDescent="0.35">
      <c r="A244" s="6" t="s">
        <v>116</v>
      </c>
      <c r="B244" s="6" t="s">
        <v>211</v>
      </c>
      <c r="C244" s="6" t="s">
        <v>210</v>
      </c>
      <c r="D244" s="7" t="s">
        <v>232</v>
      </c>
      <c r="E244" s="7" t="s">
        <v>45</v>
      </c>
      <c r="F244" s="6" t="s">
        <v>185</v>
      </c>
      <c r="G244" s="7" t="str">
        <f>+VLOOKUP(E244,Detail!$E$51:$F$95,2,0)</f>
        <v>INE018A01030</v>
      </c>
      <c r="H244" s="8">
        <v>46108</v>
      </c>
      <c r="I244" s="7" t="s">
        <v>195</v>
      </c>
      <c r="J244" s="9">
        <v>91</v>
      </c>
      <c r="K244" s="9">
        <v>3567.9553000000001</v>
      </c>
      <c r="L244" s="9">
        <v>324846.27</v>
      </c>
    </row>
    <row r="245" spans="1:12" x14ac:dyDescent="0.35">
      <c r="A245" s="6" t="s">
        <v>116</v>
      </c>
      <c r="B245" s="6" t="s">
        <v>211</v>
      </c>
      <c r="C245" s="6" t="s">
        <v>210</v>
      </c>
      <c r="D245" s="7" t="s">
        <v>232</v>
      </c>
      <c r="E245" s="7" t="s">
        <v>19</v>
      </c>
      <c r="F245" s="6" t="s">
        <v>185</v>
      </c>
      <c r="G245" s="7" t="str">
        <f>+VLOOKUP(E245,Detail!$E$51:$F$95,2,0)</f>
        <v>INE180A01020</v>
      </c>
      <c r="H245" s="8">
        <v>46108</v>
      </c>
      <c r="I245" s="7" t="s">
        <v>195</v>
      </c>
      <c r="J245" s="9">
        <v>210</v>
      </c>
      <c r="K245" s="9">
        <v>1560.7145</v>
      </c>
      <c r="L245" s="9">
        <v>327913.93</v>
      </c>
    </row>
    <row r="246" spans="1:12" x14ac:dyDescent="0.35">
      <c r="A246" s="6" t="s">
        <v>116</v>
      </c>
      <c r="B246" s="6" t="s">
        <v>211</v>
      </c>
      <c r="C246" s="6" t="s">
        <v>210</v>
      </c>
      <c r="D246" s="7" t="s">
        <v>232</v>
      </c>
      <c r="E246" s="7" t="s">
        <v>21</v>
      </c>
      <c r="F246" s="6" t="s">
        <v>185</v>
      </c>
      <c r="G246" s="7" t="str">
        <f>+VLOOKUP(E246,Detail!$E$51:$F$95,2,0)</f>
        <v>INE982J01020</v>
      </c>
      <c r="H246" s="8">
        <v>46108</v>
      </c>
      <c r="I246" s="7" t="s">
        <v>195</v>
      </c>
      <c r="J246" s="9">
        <v>336</v>
      </c>
      <c r="K246" s="9">
        <v>1012.9983999999999</v>
      </c>
      <c r="L246" s="9">
        <v>340537.64</v>
      </c>
    </row>
    <row r="247" spans="1:12" x14ac:dyDescent="0.35">
      <c r="A247" s="6" t="s">
        <v>116</v>
      </c>
      <c r="B247" s="6" t="s">
        <v>211</v>
      </c>
      <c r="C247" s="6" t="s">
        <v>210</v>
      </c>
      <c r="D247" s="7" t="s">
        <v>232</v>
      </c>
      <c r="E247" s="7" t="s">
        <v>145</v>
      </c>
      <c r="F247" s="6" t="s">
        <v>185</v>
      </c>
      <c r="G247" s="7" t="str">
        <f>+VLOOKUP(E247,Detail!$E$51:$F$95,2,0)</f>
        <v>INE399G01023</v>
      </c>
      <c r="H247" s="8">
        <v>46108</v>
      </c>
      <c r="I247" s="7" t="s">
        <v>195</v>
      </c>
      <c r="J247" s="9">
        <v>700</v>
      </c>
      <c r="K247" s="9">
        <v>488.60500000000002</v>
      </c>
      <c r="L247" s="9">
        <v>342194.51</v>
      </c>
    </row>
    <row r="248" spans="1:12" x14ac:dyDescent="0.35">
      <c r="A248" s="6" t="s">
        <v>116</v>
      </c>
      <c r="B248" s="6" t="s">
        <v>211</v>
      </c>
      <c r="C248" s="6" t="s">
        <v>210</v>
      </c>
      <c r="D248" s="7" t="s">
        <v>232</v>
      </c>
      <c r="E248" s="7" t="s">
        <v>75</v>
      </c>
      <c r="F248" s="6" t="s">
        <v>185</v>
      </c>
      <c r="G248" s="7" t="str">
        <f>+VLOOKUP(E248,Detail!$E$51:$F$95,2,0)</f>
        <v>INE721A01047</v>
      </c>
      <c r="H248" s="8">
        <v>46108</v>
      </c>
      <c r="I248" s="7" t="s">
        <v>195</v>
      </c>
      <c r="J248" s="9">
        <v>314</v>
      </c>
      <c r="K248" s="9">
        <v>907.05020000000002</v>
      </c>
      <c r="L248" s="9">
        <v>284956.15999999997</v>
      </c>
    </row>
    <row r="249" spans="1:12" x14ac:dyDescent="0.35">
      <c r="A249" s="6" t="s">
        <v>116</v>
      </c>
      <c r="B249" s="6" t="s">
        <v>211</v>
      </c>
      <c r="C249" s="6" t="s">
        <v>210</v>
      </c>
      <c r="D249" s="7" t="s">
        <v>232</v>
      </c>
      <c r="E249" s="7" t="s">
        <v>77</v>
      </c>
      <c r="F249" s="6" t="s">
        <v>185</v>
      </c>
      <c r="G249" s="7" t="str">
        <f>+VLOOKUP(E249,Detail!$E$51:$F$95,2,0)</f>
        <v>INE062A01020</v>
      </c>
      <c r="H249" s="8">
        <v>46108</v>
      </c>
      <c r="I249" s="7" t="s">
        <v>195</v>
      </c>
      <c r="J249" s="9">
        <v>584</v>
      </c>
      <c r="K249" s="9">
        <v>1025.8127999999999</v>
      </c>
      <c r="L249" s="9">
        <v>599374.22</v>
      </c>
    </row>
    <row r="250" spans="1:12" x14ac:dyDescent="0.35">
      <c r="A250" s="6" t="s">
        <v>116</v>
      </c>
      <c r="B250" s="6" t="s">
        <v>211</v>
      </c>
      <c r="C250" s="6" t="s">
        <v>210</v>
      </c>
      <c r="D250" s="7" t="s">
        <v>232</v>
      </c>
      <c r="E250" s="7" t="s">
        <v>101</v>
      </c>
      <c r="F250" s="6" t="s">
        <v>185</v>
      </c>
      <c r="G250" s="7" t="str">
        <f>+VLOOKUP(E250,Detail!$E$51:$F$95,2,0)</f>
        <v>INE849A01020</v>
      </c>
      <c r="H250" s="8">
        <v>46108</v>
      </c>
      <c r="I250" s="7" t="s">
        <v>195</v>
      </c>
      <c r="J250" s="9">
        <v>114</v>
      </c>
      <c r="K250" s="9">
        <v>3394.4115999999999</v>
      </c>
      <c r="L250" s="9">
        <v>387156.4</v>
      </c>
    </row>
    <row r="251" spans="1:12" x14ac:dyDescent="0.35">
      <c r="A251" s="6" t="s">
        <v>116</v>
      </c>
      <c r="B251" s="6" t="s">
        <v>211</v>
      </c>
      <c r="C251" s="6" t="s">
        <v>210</v>
      </c>
      <c r="D251" s="7" t="s">
        <v>232</v>
      </c>
      <c r="E251" s="7" t="s">
        <v>149</v>
      </c>
      <c r="F251" s="6" t="s">
        <v>185</v>
      </c>
      <c r="G251" s="7" t="str">
        <f>+VLOOKUP(E251,Detail!$E$51:$F$95,2,0)</f>
        <v>INE481G01011</v>
      </c>
      <c r="H251" s="8">
        <v>46108</v>
      </c>
      <c r="I251" s="7" t="s">
        <v>195</v>
      </c>
      <c r="J251" s="9">
        <v>28</v>
      </c>
      <c r="K251" s="9">
        <v>11074.681399999999</v>
      </c>
      <c r="L251" s="9">
        <v>310246.12</v>
      </c>
    </row>
    <row r="252" spans="1:12" x14ac:dyDescent="0.35">
      <c r="A252" s="6" t="s">
        <v>116</v>
      </c>
      <c r="B252" s="6" t="s">
        <v>211</v>
      </c>
      <c r="C252" s="6" t="s">
        <v>210</v>
      </c>
      <c r="D252" s="7" t="s">
        <v>232</v>
      </c>
      <c r="E252" s="7" t="s">
        <v>205</v>
      </c>
      <c r="F252" s="6" t="s">
        <v>185</v>
      </c>
      <c r="G252" s="7" t="s">
        <v>237</v>
      </c>
      <c r="H252" s="8">
        <v>46108</v>
      </c>
      <c r="I252" s="7" t="s">
        <v>195</v>
      </c>
      <c r="J252" s="9">
        <v>1000</v>
      </c>
      <c r="K252" s="9">
        <v>393.85239999999999</v>
      </c>
      <c r="L252" s="9">
        <v>394049.3</v>
      </c>
    </row>
    <row r="253" spans="1:12" x14ac:dyDescent="0.35">
      <c r="A253" s="6" t="s">
        <v>116</v>
      </c>
      <c r="B253" s="6" t="s">
        <v>211</v>
      </c>
      <c r="C253" s="6" t="s">
        <v>210</v>
      </c>
      <c r="D253" s="7" t="s">
        <v>232</v>
      </c>
      <c r="E253" s="7" t="s">
        <v>155</v>
      </c>
      <c r="F253" s="6" t="s">
        <v>185</v>
      </c>
      <c r="G253" s="7" t="str">
        <f>+VLOOKUP(E253,Detail!$E$51:$F$95,2,0)</f>
        <v>INE054A01027</v>
      </c>
      <c r="H253" s="8">
        <v>46108</v>
      </c>
      <c r="I253" s="7" t="s">
        <v>195</v>
      </c>
      <c r="J253" s="9">
        <v>140</v>
      </c>
      <c r="K253" s="9">
        <v>319.71870000000001</v>
      </c>
      <c r="L253" s="9">
        <v>44783.01</v>
      </c>
    </row>
    <row r="254" spans="1:12" x14ac:dyDescent="0.35">
      <c r="A254" s="6" t="s">
        <v>116</v>
      </c>
      <c r="B254" s="6" t="s">
        <v>211</v>
      </c>
      <c r="C254" s="6" t="s">
        <v>210</v>
      </c>
      <c r="D254" s="7" t="s">
        <v>232</v>
      </c>
      <c r="E254" s="7" t="s">
        <v>13</v>
      </c>
      <c r="F254" s="6" t="s">
        <v>185</v>
      </c>
      <c r="G254" s="7" t="str">
        <f>+VLOOKUP(E254,Detail!$E$51:$F$95,2,0)</f>
        <v>INE238A01034</v>
      </c>
      <c r="H254" s="8">
        <v>46106</v>
      </c>
      <c r="I254" s="7" t="s">
        <v>195</v>
      </c>
      <c r="J254" s="9">
        <v>170</v>
      </c>
      <c r="K254" s="9">
        <v>1215.5123000000001</v>
      </c>
      <c r="L254" s="9">
        <v>206797.44</v>
      </c>
    </row>
    <row r="255" spans="1:12" x14ac:dyDescent="0.35">
      <c r="A255" s="6" t="s">
        <v>116</v>
      </c>
      <c r="B255" s="6" t="s">
        <v>211</v>
      </c>
      <c r="C255" s="6" t="s">
        <v>210</v>
      </c>
      <c r="D255" s="7" t="s">
        <v>232</v>
      </c>
      <c r="E255" s="7" t="s">
        <v>27</v>
      </c>
      <c r="F255" s="6" t="s">
        <v>185</v>
      </c>
      <c r="G255" s="7" t="str">
        <f>+VLOOKUP(E255,Detail!$E$51:$F$95,2,0)</f>
        <v>INE397D01024</v>
      </c>
      <c r="H255" s="8">
        <v>46105</v>
      </c>
      <c r="I255" s="7" t="s">
        <v>195</v>
      </c>
      <c r="J255" s="9">
        <v>100</v>
      </c>
      <c r="K255" s="9">
        <v>1803.2953</v>
      </c>
      <c r="L255" s="9">
        <v>180508.24</v>
      </c>
    </row>
    <row r="256" spans="1:12" x14ac:dyDescent="0.35">
      <c r="A256" s="6" t="s">
        <v>116</v>
      </c>
      <c r="B256" s="6" t="s">
        <v>211</v>
      </c>
      <c r="C256" s="6" t="s">
        <v>210</v>
      </c>
      <c r="D256" s="7" t="s">
        <v>232</v>
      </c>
      <c r="E256" s="7" t="s">
        <v>75</v>
      </c>
      <c r="F256" s="6" t="s">
        <v>185</v>
      </c>
      <c r="G256" s="7" t="str">
        <f>+VLOOKUP(E256,Detail!$E$51:$F$95,2,0)</f>
        <v>INE721A01047</v>
      </c>
      <c r="H256" s="8">
        <v>46105</v>
      </c>
      <c r="I256" s="7" t="s">
        <v>195</v>
      </c>
      <c r="J256" s="9">
        <v>330</v>
      </c>
      <c r="K256" s="9">
        <v>912.43280000000004</v>
      </c>
      <c r="L256" s="9">
        <v>301401.21000000002</v>
      </c>
    </row>
    <row r="257" spans="1:12" x14ac:dyDescent="0.35">
      <c r="A257" s="6" t="s">
        <v>116</v>
      </c>
      <c r="B257" s="6" t="s">
        <v>211</v>
      </c>
      <c r="C257" s="6" t="s">
        <v>210</v>
      </c>
      <c r="D257" s="7" t="s">
        <v>232</v>
      </c>
      <c r="E257" s="7" t="s">
        <v>155</v>
      </c>
      <c r="F257" s="6" t="s">
        <v>185</v>
      </c>
      <c r="G257" s="7" t="str">
        <f>+VLOOKUP(E257,Detail!$E$51:$F$95,2,0)</f>
        <v>INE054A01027</v>
      </c>
      <c r="H257" s="8">
        <v>46105</v>
      </c>
      <c r="I257" s="7" t="s">
        <v>195</v>
      </c>
      <c r="J257" s="9">
        <v>100</v>
      </c>
      <c r="K257" s="9">
        <v>319.15879999999999</v>
      </c>
      <c r="L257" s="9">
        <v>31947.51</v>
      </c>
    </row>
    <row r="258" spans="1:12" x14ac:dyDescent="0.35">
      <c r="A258" s="6" t="s">
        <v>116</v>
      </c>
      <c r="B258" s="6" t="s">
        <v>211</v>
      </c>
      <c r="C258" s="6" t="s">
        <v>210</v>
      </c>
      <c r="D258" s="7" t="s">
        <v>232</v>
      </c>
      <c r="E258" s="7" t="s">
        <v>121</v>
      </c>
      <c r="F258" s="6" t="s">
        <v>185</v>
      </c>
      <c r="G258" s="7" t="str">
        <f>+VLOOKUP(E258,Detail!$E$51:$F$95,2,0)</f>
        <v>INE216A01030</v>
      </c>
      <c r="H258" s="8">
        <v>46104</v>
      </c>
      <c r="I258" s="7" t="s">
        <v>195</v>
      </c>
      <c r="J258" s="9">
        <v>10</v>
      </c>
      <c r="K258" s="9">
        <v>5523.3576999999996</v>
      </c>
      <c r="L258" s="9">
        <v>55274.45</v>
      </c>
    </row>
    <row r="259" spans="1:12" x14ac:dyDescent="0.35">
      <c r="A259" s="6" t="s">
        <v>116</v>
      </c>
      <c r="B259" s="6" t="s">
        <v>211</v>
      </c>
      <c r="C259" s="6" t="s">
        <v>210</v>
      </c>
      <c r="D259" s="7" t="s">
        <v>232</v>
      </c>
      <c r="E259" s="7" t="s">
        <v>147</v>
      </c>
      <c r="F259" s="6" t="s">
        <v>185</v>
      </c>
      <c r="G259" s="7" t="str">
        <f>+VLOOKUP(E259,Detail!$E$51:$F$95,2,0)</f>
        <v>INE195A01028</v>
      </c>
      <c r="H259" s="8">
        <v>46098</v>
      </c>
      <c r="I259" s="7" t="s">
        <v>194</v>
      </c>
      <c r="J259" s="9">
        <v>76</v>
      </c>
      <c r="K259" s="9">
        <v>3895.4690999999998</v>
      </c>
      <c r="L259" s="9">
        <v>295880.96999999997</v>
      </c>
    </row>
    <row r="260" spans="1:12" x14ac:dyDescent="0.35">
      <c r="A260" s="6" t="s">
        <v>116</v>
      </c>
      <c r="B260" s="6" t="s">
        <v>211</v>
      </c>
      <c r="C260" s="6" t="s">
        <v>210</v>
      </c>
      <c r="D260" s="7" t="s">
        <v>232</v>
      </c>
      <c r="E260" s="7" t="s">
        <v>151</v>
      </c>
      <c r="F260" s="6" t="s">
        <v>185</v>
      </c>
      <c r="G260" s="7" t="str">
        <f>+VLOOKUP(E260,Detail!$E$51:$F$95,2,0)</f>
        <v>INE665L01035</v>
      </c>
      <c r="H260" s="8">
        <v>46093</v>
      </c>
      <c r="I260" s="7" t="s">
        <v>195</v>
      </c>
      <c r="J260" s="9">
        <v>354</v>
      </c>
      <c r="K260" s="9">
        <v>495.00189999999998</v>
      </c>
      <c r="L260" s="9">
        <v>175318.29</v>
      </c>
    </row>
    <row r="261" spans="1:12" x14ac:dyDescent="0.35">
      <c r="A261" s="6" t="s">
        <v>116</v>
      </c>
      <c r="B261" s="6" t="s">
        <v>211</v>
      </c>
      <c r="C261" s="6" t="s">
        <v>210</v>
      </c>
      <c r="D261" s="7" t="s">
        <v>232</v>
      </c>
      <c r="E261" s="7" t="s">
        <v>69</v>
      </c>
      <c r="F261" s="6" t="s">
        <v>185</v>
      </c>
      <c r="G261" s="7" t="str">
        <f>+VLOOKUP(E261,Detail!$E$51:$F$95,2,0)</f>
        <v>INE296A01032</v>
      </c>
      <c r="H261" s="8">
        <v>46092</v>
      </c>
      <c r="I261" s="7" t="s">
        <v>195</v>
      </c>
      <c r="J261" s="9">
        <v>143</v>
      </c>
      <c r="K261" s="9">
        <v>896.15120000000002</v>
      </c>
      <c r="L261" s="9">
        <v>128276.62</v>
      </c>
    </row>
    <row r="262" spans="1:12" x14ac:dyDescent="0.35">
      <c r="A262" s="6" t="s">
        <v>116</v>
      </c>
      <c r="B262" s="6" t="s">
        <v>211</v>
      </c>
      <c r="C262" s="6" t="s">
        <v>210</v>
      </c>
      <c r="D262" s="7" t="s">
        <v>232</v>
      </c>
      <c r="E262" s="7" t="s">
        <v>39</v>
      </c>
      <c r="F262" s="6" t="s">
        <v>185</v>
      </c>
      <c r="G262" s="7" t="str">
        <f>+VLOOKUP(E262,Detail!$E$51:$F$95,2,0)</f>
        <v>INE090A01021</v>
      </c>
      <c r="H262" s="8">
        <v>46092</v>
      </c>
      <c r="I262" s="7" t="s">
        <v>195</v>
      </c>
      <c r="J262" s="9">
        <v>113</v>
      </c>
      <c r="K262" s="9">
        <v>1293.8343</v>
      </c>
      <c r="L262" s="9">
        <v>146348.17000000001</v>
      </c>
    </row>
    <row r="263" spans="1:12" x14ac:dyDescent="0.35">
      <c r="A263" s="6" t="s">
        <v>116</v>
      </c>
      <c r="B263" s="6" t="s">
        <v>211</v>
      </c>
      <c r="C263" s="6" t="s">
        <v>210</v>
      </c>
      <c r="D263" s="7" t="s">
        <v>232</v>
      </c>
      <c r="E263" s="7" t="s">
        <v>19</v>
      </c>
      <c r="F263" s="6" t="s">
        <v>185</v>
      </c>
      <c r="G263" s="7" t="str">
        <f>+VLOOKUP(E263,Detail!$E$51:$F$95,2,0)</f>
        <v>INE180A01020</v>
      </c>
      <c r="H263" s="8">
        <v>46092</v>
      </c>
      <c r="I263" s="7" t="s">
        <v>195</v>
      </c>
      <c r="J263" s="9">
        <v>133</v>
      </c>
      <c r="K263" s="9">
        <v>1723.2748999999999</v>
      </c>
      <c r="L263" s="9">
        <v>229422.7</v>
      </c>
    </row>
    <row r="264" spans="1:12" x14ac:dyDescent="0.35">
      <c r="A264" s="6" t="s">
        <v>116</v>
      </c>
      <c r="B264" s="6" t="s">
        <v>211</v>
      </c>
      <c r="C264" s="6" t="s">
        <v>210</v>
      </c>
      <c r="D264" s="7" t="s">
        <v>232</v>
      </c>
      <c r="E264" s="7" t="s">
        <v>155</v>
      </c>
      <c r="F264" s="6" t="s">
        <v>185</v>
      </c>
      <c r="G264" s="7" t="str">
        <f>+VLOOKUP(E264,Detail!$E$51:$F$95,2,0)</f>
        <v>INE054A01027</v>
      </c>
      <c r="H264" s="8">
        <v>46092</v>
      </c>
      <c r="I264" s="7" t="s">
        <v>195</v>
      </c>
      <c r="J264" s="9">
        <v>57</v>
      </c>
      <c r="K264" s="9">
        <v>349.91860000000003</v>
      </c>
      <c r="L264" s="9">
        <v>19965.13</v>
      </c>
    </row>
    <row r="265" spans="1:12" x14ac:dyDescent="0.35">
      <c r="A265" s="6" t="s">
        <v>116</v>
      </c>
      <c r="B265" s="6" t="s">
        <v>211</v>
      </c>
      <c r="C265" s="6" t="s">
        <v>210</v>
      </c>
      <c r="D265" s="7" t="s">
        <v>232</v>
      </c>
      <c r="E265" s="7" t="s">
        <v>123</v>
      </c>
      <c r="F265" s="6" t="s">
        <v>185</v>
      </c>
      <c r="G265" s="7" t="str">
        <f>+VLOOKUP(E265,Detail!$E$51:$F$95,2,0)</f>
        <v>INE00R701025</v>
      </c>
      <c r="H265" s="8">
        <v>46091</v>
      </c>
      <c r="I265" s="7" t="s">
        <v>195</v>
      </c>
      <c r="J265" s="9">
        <v>200</v>
      </c>
      <c r="K265" s="9">
        <v>1853.3087</v>
      </c>
      <c r="L265" s="9">
        <v>370847.08</v>
      </c>
    </row>
    <row r="266" spans="1:12" x14ac:dyDescent="0.35">
      <c r="A266" s="6" t="s">
        <v>116</v>
      </c>
      <c r="B266" s="6" t="s">
        <v>211</v>
      </c>
      <c r="C266" s="6" t="s">
        <v>210</v>
      </c>
      <c r="D266" s="7" t="s">
        <v>232</v>
      </c>
      <c r="E266" s="7" t="s">
        <v>133</v>
      </c>
      <c r="F266" s="6" t="s">
        <v>185</v>
      </c>
      <c r="G266" s="7" t="str">
        <f>+VLOOKUP(E266,Detail!$E$51:$F$95,2,0)</f>
        <v>INE030A01027</v>
      </c>
      <c r="H266" s="8">
        <v>46091</v>
      </c>
      <c r="I266" s="7" t="s">
        <v>195</v>
      </c>
      <c r="J266" s="9">
        <v>20</v>
      </c>
      <c r="K266" s="9">
        <v>2192.1179999999999</v>
      </c>
      <c r="L266" s="9">
        <v>43864.28</v>
      </c>
    </row>
    <row r="267" spans="1:12" x14ac:dyDescent="0.35">
      <c r="A267" s="6" t="s">
        <v>116</v>
      </c>
      <c r="B267" s="6" t="s">
        <v>211</v>
      </c>
      <c r="C267" s="6" t="s">
        <v>210</v>
      </c>
      <c r="D267" s="7" t="s">
        <v>232</v>
      </c>
      <c r="E267" s="7" t="s">
        <v>155</v>
      </c>
      <c r="F267" s="6" t="s">
        <v>185</v>
      </c>
      <c r="G267" s="7" t="str">
        <f>+VLOOKUP(E267,Detail!$E$51:$F$95,2,0)</f>
        <v>INE054A01027</v>
      </c>
      <c r="H267" s="8">
        <v>46091</v>
      </c>
      <c r="I267" s="7" t="s">
        <v>195</v>
      </c>
      <c r="J267" s="9">
        <v>46</v>
      </c>
      <c r="K267" s="9">
        <v>359.96839999999997</v>
      </c>
      <c r="L267" s="9">
        <v>16566.830000000002</v>
      </c>
    </row>
    <row r="268" spans="1:12" x14ac:dyDescent="0.35">
      <c r="A268" s="6" t="s">
        <v>116</v>
      </c>
      <c r="B268" s="6" t="s">
        <v>211</v>
      </c>
      <c r="C268" s="6" t="s">
        <v>210</v>
      </c>
      <c r="D268" s="7" t="s">
        <v>232</v>
      </c>
      <c r="E268" s="7" t="s">
        <v>25</v>
      </c>
      <c r="F268" s="6" t="s">
        <v>185</v>
      </c>
      <c r="G268" s="7" t="s">
        <v>26</v>
      </c>
      <c r="H268" s="8">
        <v>46090</v>
      </c>
      <c r="I268" s="7" t="s">
        <v>195</v>
      </c>
      <c r="J268" s="9">
        <v>280</v>
      </c>
      <c r="K268" s="9">
        <v>1246.5743</v>
      </c>
      <c r="L268" s="9">
        <v>349320.04</v>
      </c>
    </row>
    <row r="269" spans="1:12" x14ac:dyDescent="0.35">
      <c r="A269" s="6" t="s">
        <v>116</v>
      </c>
      <c r="B269" s="6" t="s">
        <v>211</v>
      </c>
      <c r="C269" s="6" t="s">
        <v>210</v>
      </c>
      <c r="D269" s="7" t="s">
        <v>232</v>
      </c>
      <c r="E269" s="7" t="s">
        <v>13</v>
      </c>
      <c r="F269" s="6" t="s">
        <v>185</v>
      </c>
      <c r="G269" s="7" t="str">
        <f>+VLOOKUP(E269,Detail!$E$51:$F$95,2,0)</f>
        <v>INE238A01034</v>
      </c>
      <c r="H269" s="8">
        <v>46090</v>
      </c>
      <c r="I269" s="7" t="s">
        <v>195</v>
      </c>
      <c r="J269" s="9">
        <v>630</v>
      </c>
      <c r="K269" s="9">
        <v>1287.856</v>
      </c>
      <c r="L269" s="9">
        <v>811998.37</v>
      </c>
    </row>
    <row r="270" spans="1:12" x14ac:dyDescent="0.35">
      <c r="A270" s="6" t="s">
        <v>116</v>
      </c>
      <c r="B270" s="6" t="s">
        <v>211</v>
      </c>
      <c r="C270" s="6" t="s">
        <v>210</v>
      </c>
      <c r="D270" s="7" t="s">
        <v>232</v>
      </c>
      <c r="E270" s="7" t="s">
        <v>119</v>
      </c>
      <c r="F270" s="6" t="s">
        <v>185</v>
      </c>
      <c r="G270" s="7" t="str">
        <f>+VLOOKUP(E270,Detail!$E$51:$F$95,2,0)</f>
        <v>INE917I01010</v>
      </c>
      <c r="H270" s="8">
        <v>46090</v>
      </c>
      <c r="I270" s="7" t="s">
        <v>195</v>
      </c>
      <c r="J270" s="9">
        <v>22</v>
      </c>
      <c r="K270" s="9">
        <v>9407.3212000000003</v>
      </c>
      <c r="L270" s="9">
        <v>207126.64</v>
      </c>
    </row>
    <row r="271" spans="1:12" x14ac:dyDescent="0.35">
      <c r="A271" s="6" t="s">
        <v>116</v>
      </c>
      <c r="B271" s="6" t="s">
        <v>211</v>
      </c>
      <c r="C271" s="6" t="s">
        <v>210</v>
      </c>
      <c r="D271" s="7" t="s">
        <v>232</v>
      </c>
      <c r="E271" s="7" t="s">
        <v>69</v>
      </c>
      <c r="F271" s="6" t="s">
        <v>185</v>
      </c>
      <c r="G271" s="7" t="str">
        <f>+VLOOKUP(E271,Detail!$E$51:$F$95,2,0)</f>
        <v>INE296A01032</v>
      </c>
      <c r="H271" s="8">
        <v>46090</v>
      </c>
      <c r="I271" s="7" t="s">
        <v>195</v>
      </c>
      <c r="J271" s="9">
        <v>675</v>
      </c>
      <c r="K271" s="9">
        <v>925.8415</v>
      </c>
      <c r="L271" s="9">
        <v>625442.98</v>
      </c>
    </row>
    <row r="272" spans="1:12" x14ac:dyDescent="0.35">
      <c r="A272" s="6" t="s">
        <v>116</v>
      </c>
      <c r="B272" s="6" t="s">
        <v>211</v>
      </c>
      <c r="C272" s="6" t="s">
        <v>210</v>
      </c>
      <c r="D272" s="7" t="s">
        <v>232</v>
      </c>
      <c r="E272" s="7" t="s">
        <v>27</v>
      </c>
      <c r="F272" s="6" t="s">
        <v>185</v>
      </c>
      <c r="G272" s="7" t="str">
        <f>+VLOOKUP(E272,Detail!$E$51:$F$95,2,0)</f>
        <v>INE397D01024</v>
      </c>
      <c r="H272" s="8">
        <v>46090</v>
      </c>
      <c r="I272" s="7" t="s">
        <v>195</v>
      </c>
      <c r="J272" s="9">
        <v>120</v>
      </c>
      <c r="K272" s="9">
        <v>1867.1908000000001</v>
      </c>
      <c r="L272" s="9">
        <v>224242.16</v>
      </c>
    </row>
    <row r="273" spans="1:12" x14ac:dyDescent="0.35">
      <c r="A273" s="6" t="s">
        <v>116</v>
      </c>
      <c r="B273" s="6" t="s">
        <v>211</v>
      </c>
      <c r="C273" s="6" t="s">
        <v>210</v>
      </c>
      <c r="D273" s="7" t="s">
        <v>232</v>
      </c>
      <c r="E273" s="7" t="s">
        <v>121</v>
      </c>
      <c r="F273" s="6" t="s">
        <v>185</v>
      </c>
      <c r="G273" s="7" t="str">
        <f>+VLOOKUP(E273,Detail!$E$51:$F$95,2,0)</f>
        <v>INE216A01030</v>
      </c>
      <c r="H273" s="8">
        <v>46090</v>
      </c>
      <c r="I273" s="7" t="s">
        <v>195</v>
      </c>
      <c r="J273" s="9">
        <v>32</v>
      </c>
      <c r="K273" s="9">
        <v>5885.8552</v>
      </c>
      <c r="L273" s="9">
        <v>188498.05</v>
      </c>
    </row>
    <row r="274" spans="1:12" x14ac:dyDescent="0.35">
      <c r="A274" s="6" t="s">
        <v>116</v>
      </c>
      <c r="B274" s="6" t="s">
        <v>211</v>
      </c>
      <c r="C274" s="6" t="s">
        <v>210</v>
      </c>
      <c r="D274" s="7" t="s">
        <v>232</v>
      </c>
      <c r="E274" s="7" t="s">
        <v>125</v>
      </c>
      <c r="F274" s="6" t="s">
        <v>185</v>
      </c>
      <c r="G274" s="7" t="str">
        <f>+VLOOKUP(E274,Detail!$E$51:$F$95,2,0)</f>
        <v>INE917M01012</v>
      </c>
      <c r="H274" s="8">
        <v>46090</v>
      </c>
      <c r="I274" s="7" t="s">
        <v>195</v>
      </c>
      <c r="J274" s="9">
        <v>550</v>
      </c>
      <c r="K274" s="9">
        <v>440.4889</v>
      </c>
      <c r="L274" s="9">
        <v>242462.72</v>
      </c>
    </row>
    <row r="275" spans="1:12" x14ac:dyDescent="0.35">
      <c r="A275" s="6" t="s">
        <v>116</v>
      </c>
      <c r="B275" s="6" t="s">
        <v>211</v>
      </c>
      <c r="C275" s="6" t="s">
        <v>210</v>
      </c>
      <c r="D275" s="7" t="s">
        <v>232</v>
      </c>
      <c r="E275" s="7" t="s">
        <v>129</v>
      </c>
      <c r="F275" s="6" t="s">
        <v>185</v>
      </c>
      <c r="G275" s="7" t="str">
        <f>+VLOOKUP(E275,Detail!$E$51:$F$95,2,0)</f>
        <v>INE935A01035</v>
      </c>
      <c r="H275" s="8">
        <v>46090</v>
      </c>
      <c r="I275" s="7" t="s">
        <v>195</v>
      </c>
      <c r="J275" s="9">
        <v>116</v>
      </c>
      <c r="K275" s="9">
        <v>2122.7968999999998</v>
      </c>
      <c r="L275" s="9">
        <v>246441.43</v>
      </c>
    </row>
    <row r="276" spans="1:12" x14ac:dyDescent="0.35">
      <c r="A276" s="6" t="s">
        <v>116</v>
      </c>
      <c r="B276" s="6" t="s">
        <v>211</v>
      </c>
      <c r="C276" s="6" t="s">
        <v>210</v>
      </c>
      <c r="D276" s="7" t="s">
        <v>232</v>
      </c>
      <c r="E276" s="7" t="s">
        <v>39</v>
      </c>
      <c r="F276" s="6" t="s">
        <v>185</v>
      </c>
      <c r="G276" s="7" t="str">
        <f>+VLOOKUP(E276,Detail!$E$51:$F$95,2,0)</f>
        <v>INE090A01021</v>
      </c>
      <c r="H276" s="8">
        <v>46090</v>
      </c>
      <c r="I276" s="7" t="s">
        <v>195</v>
      </c>
      <c r="J276" s="9">
        <v>564</v>
      </c>
      <c r="K276" s="9">
        <v>1276.645</v>
      </c>
      <c r="L276" s="9">
        <v>720603.79</v>
      </c>
    </row>
    <row r="277" spans="1:12" x14ac:dyDescent="0.35">
      <c r="A277" s="6" t="s">
        <v>116</v>
      </c>
      <c r="B277" s="6" t="s">
        <v>211</v>
      </c>
      <c r="C277" s="6" t="s">
        <v>210</v>
      </c>
      <c r="D277" s="7" t="s">
        <v>232</v>
      </c>
      <c r="E277" s="7" t="s">
        <v>137</v>
      </c>
      <c r="F277" s="6" t="s">
        <v>185</v>
      </c>
      <c r="G277" s="7" t="str">
        <f>+VLOOKUP(E277,Detail!$E$51:$F$95,2,0)</f>
        <v>INE765G01017</v>
      </c>
      <c r="H277" s="8">
        <v>46090</v>
      </c>
      <c r="I277" s="7" t="s">
        <v>195</v>
      </c>
      <c r="J277" s="9">
        <v>163</v>
      </c>
      <c r="K277" s="9">
        <v>1895.6380999999999</v>
      </c>
      <c r="L277" s="9">
        <v>309236.2</v>
      </c>
    </row>
    <row r="278" spans="1:12" x14ac:dyDescent="0.35">
      <c r="A278" s="6" t="s">
        <v>116</v>
      </c>
      <c r="B278" s="6" t="s">
        <v>211</v>
      </c>
      <c r="C278" s="6" t="s">
        <v>210</v>
      </c>
      <c r="D278" s="7" t="s">
        <v>232</v>
      </c>
      <c r="E278" s="7" t="s">
        <v>206</v>
      </c>
      <c r="F278" s="6" t="s">
        <v>185</v>
      </c>
      <c r="G278" s="7" t="s">
        <v>235</v>
      </c>
      <c r="H278" s="8">
        <v>46090</v>
      </c>
      <c r="I278" s="7" t="s">
        <v>195</v>
      </c>
      <c r="J278" s="9">
        <v>711</v>
      </c>
      <c r="K278" s="9">
        <v>437.1694</v>
      </c>
      <c r="L278" s="9">
        <v>311076.08</v>
      </c>
    </row>
    <row r="279" spans="1:12" x14ac:dyDescent="0.35">
      <c r="A279" s="6" t="s">
        <v>116</v>
      </c>
      <c r="B279" s="6" t="s">
        <v>211</v>
      </c>
      <c r="C279" s="6" t="s">
        <v>210</v>
      </c>
      <c r="D279" s="7" t="s">
        <v>232</v>
      </c>
      <c r="E279" s="7" t="s">
        <v>41</v>
      </c>
      <c r="F279" s="6" t="s">
        <v>185</v>
      </c>
      <c r="G279" s="7" t="str">
        <f>+VLOOKUP(E279,Detail!$E$51:$F$95,2,0)</f>
        <v>INE646L01027</v>
      </c>
      <c r="H279" s="8">
        <v>46090</v>
      </c>
      <c r="I279" s="7" t="s">
        <v>195</v>
      </c>
      <c r="J279" s="9">
        <v>60</v>
      </c>
      <c r="K279" s="9">
        <v>4228.5055000000002</v>
      </c>
      <c r="L279" s="9">
        <v>253913.3</v>
      </c>
    </row>
    <row r="280" spans="1:12" x14ac:dyDescent="0.35">
      <c r="A280" s="6" t="s">
        <v>116</v>
      </c>
      <c r="B280" s="6" t="s">
        <v>211</v>
      </c>
      <c r="C280" s="6" t="s">
        <v>210</v>
      </c>
      <c r="D280" s="7" t="s">
        <v>232</v>
      </c>
      <c r="E280" s="7" t="s">
        <v>141</v>
      </c>
      <c r="F280" s="6" t="s">
        <v>185</v>
      </c>
      <c r="G280" s="7" t="str">
        <f>+VLOOKUP(E280,Detail!$E$51:$F$95,2,0)</f>
        <v>INE918Z01012</v>
      </c>
      <c r="H280" s="8">
        <v>46090</v>
      </c>
      <c r="I280" s="7" t="s">
        <v>195</v>
      </c>
      <c r="J280" s="9">
        <v>90</v>
      </c>
      <c r="K280" s="9">
        <v>3698.9348</v>
      </c>
      <c r="L280" s="9">
        <v>333170.46000000002</v>
      </c>
    </row>
    <row r="281" spans="1:12" x14ac:dyDescent="0.35">
      <c r="A281" s="6" t="s">
        <v>116</v>
      </c>
      <c r="B281" s="6" t="s">
        <v>211</v>
      </c>
      <c r="C281" s="6" t="s">
        <v>210</v>
      </c>
      <c r="D281" s="7" t="s">
        <v>232</v>
      </c>
      <c r="E281" s="7" t="s">
        <v>45</v>
      </c>
      <c r="F281" s="6" t="s">
        <v>185</v>
      </c>
      <c r="G281" s="7" t="str">
        <f>+VLOOKUP(E281,Detail!$E$51:$F$95,2,0)</f>
        <v>INE018A01030</v>
      </c>
      <c r="H281" s="8">
        <v>46090</v>
      </c>
      <c r="I281" s="7" t="s">
        <v>195</v>
      </c>
      <c r="J281" s="9">
        <v>15</v>
      </c>
      <c r="K281" s="9">
        <v>3803.0245</v>
      </c>
      <c r="L281" s="9">
        <v>57091.01</v>
      </c>
    </row>
    <row r="282" spans="1:12" x14ac:dyDescent="0.35">
      <c r="A282" s="6" t="s">
        <v>116</v>
      </c>
      <c r="B282" s="6" t="s">
        <v>211</v>
      </c>
      <c r="C282" s="6" t="s">
        <v>210</v>
      </c>
      <c r="D282" s="7" t="s">
        <v>232</v>
      </c>
      <c r="E282" s="7" t="s">
        <v>19</v>
      </c>
      <c r="F282" s="6" t="s">
        <v>185</v>
      </c>
      <c r="G282" s="7" t="str">
        <f>+VLOOKUP(E282,Detail!$E$51:$F$95,2,0)</f>
        <v>INE180A01020</v>
      </c>
      <c r="H282" s="8">
        <v>46090</v>
      </c>
      <c r="I282" s="7" t="s">
        <v>195</v>
      </c>
      <c r="J282" s="9">
        <v>34</v>
      </c>
      <c r="K282" s="9">
        <v>1710.06</v>
      </c>
      <c r="L282" s="9">
        <v>58188.55</v>
      </c>
    </row>
    <row r="283" spans="1:12" x14ac:dyDescent="0.35">
      <c r="A283" s="6" t="s">
        <v>116</v>
      </c>
      <c r="B283" s="6" t="s">
        <v>211</v>
      </c>
      <c r="C283" s="6" t="s">
        <v>210</v>
      </c>
      <c r="D283" s="7" t="s">
        <v>232</v>
      </c>
      <c r="E283" s="7" t="s">
        <v>21</v>
      </c>
      <c r="F283" s="6" t="s">
        <v>185</v>
      </c>
      <c r="G283" s="7" t="str">
        <f>+VLOOKUP(E283,Detail!$E$51:$F$95,2,0)</f>
        <v>INE982J01020</v>
      </c>
      <c r="H283" s="8">
        <v>46090</v>
      </c>
      <c r="I283" s="7" t="s">
        <v>195</v>
      </c>
      <c r="J283" s="9">
        <v>34</v>
      </c>
      <c r="K283" s="9">
        <v>1030.2415000000001</v>
      </c>
      <c r="L283" s="9">
        <v>35056.230000000003</v>
      </c>
    </row>
    <row r="284" spans="1:12" x14ac:dyDescent="0.35">
      <c r="A284" s="6" t="s">
        <v>116</v>
      </c>
      <c r="B284" s="6" t="s">
        <v>211</v>
      </c>
      <c r="C284" s="6" t="s">
        <v>210</v>
      </c>
      <c r="D284" s="7" t="s">
        <v>232</v>
      </c>
      <c r="E284" s="7" t="s">
        <v>145</v>
      </c>
      <c r="F284" s="6" t="s">
        <v>185</v>
      </c>
      <c r="G284" s="7" t="str">
        <f>+VLOOKUP(E284,Detail!$E$51:$F$95,2,0)</f>
        <v>INE399G01023</v>
      </c>
      <c r="H284" s="8">
        <v>46090</v>
      </c>
      <c r="I284" s="7" t="s">
        <v>195</v>
      </c>
      <c r="J284" s="9">
        <v>365</v>
      </c>
      <c r="K284" s="9">
        <v>556.3578</v>
      </c>
      <c r="L284" s="9">
        <v>203233.06</v>
      </c>
    </row>
    <row r="285" spans="1:12" x14ac:dyDescent="0.35">
      <c r="A285" s="6" t="s">
        <v>116</v>
      </c>
      <c r="B285" s="6" t="s">
        <v>211</v>
      </c>
      <c r="C285" s="6" t="s">
        <v>210</v>
      </c>
      <c r="D285" s="7" t="s">
        <v>232</v>
      </c>
      <c r="E285" s="7" t="s">
        <v>101</v>
      </c>
      <c r="F285" s="6" t="s">
        <v>185</v>
      </c>
      <c r="G285" s="7" t="str">
        <f>+VLOOKUP(E285,Detail!$E$51:$F$95,2,0)</f>
        <v>INE849A01020</v>
      </c>
      <c r="H285" s="8">
        <v>46090</v>
      </c>
      <c r="I285" s="7" t="s">
        <v>195</v>
      </c>
      <c r="J285" s="9">
        <v>65</v>
      </c>
      <c r="K285" s="9">
        <v>3665.33</v>
      </c>
      <c r="L285" s="9">
        <v>238437.05</v>
      </c>
    </row>
    <row r="286" spans="1:12" x14ac:dyDescent="0.35">
      <c r="A286" s="6" t="s">
        <v>116</v>
      </c>
      <c r="B286" s="6" t="s">
        <v>211</v>
      </c>
      <c r="C286" s="6" t="s">
        <v>210</v>
      </c>
      <c r="D286" s="7" t="s">
        <v>232</v>
      </c>
      <c r="E286" s="7" t="s">
        <v>149</v>
      </c>
      <c r="F286" s="6" t="s">
        <v>185</v>
      </c>
      <c r="G286" s="7" t="str">
        <f>+VLOOKUP(E286,Detail!$E$51:$F$95,2,0)</f>
        <v>INE481G01011</v>
      </c>
      <c r="H286" s="8">
        <v>46090</v>
      </c>
      <c r="I286" s="7" t="s">
        <v>195</v>
      </c>
      <c r="J286" s="9">
        <v>27</v>
      </c>
      <c r="K286" s="9">
        <v>11372.2462</v>
      </c>
      <c r="L286" s="9">
        <v>307296.28999999998</v>
      </c>
    </row>
    <row r="287" spans="1:12" x14ac:dyDescent="0.35">
      <c r="A287" s="6" t="s">
        <v>116</v>
      </c>
      <c r="B287" s="6" t="s">
        <v>211</v>
      </c>
      <c r="C287" s="6" t="s">
        <v>210</v>
      </c>
      <c r="D287" s="7" t="s">
        <v>232</v>
      </c>
      <c r="E287" s="7" t="s">
        <v>205</v>
      </c>
      <c r="F287" s="6" t="s">
        <v>185</v>
      </c>
      <c r="G287" s="7" t="s">
        <v>237</v>
      </c>
      <c r="H287" s="8">
        <v>46090</v>
      </c>
      <c r="I287" s="7" t="s">
        <v>195</v>
      </c>
      <c r="J287" s="9">
        <v>800</v>
      </c>
      <c r="K287" s="9">
        <v>438.49119999999999</v>
      </c>
      <c r="L287" s="9">
        <v>351073.6</v>
      </c>
    </row>
    <row r="288" spans="1:12" x14ac:dyDescent="0.35">
      <c r="A288" s="6" t="s">
        <v>116</v>
      </c>
      <c r="B288" s="6" t="s">
        <v>211</v>
      </c>
      <c r="C288" s="6" t="s">
        <v>210</v>
      </c>
      <c r="D288" s="7" t="s">
        <v>232</v>
      </c>
      <c r="E288" s="7" t="s">
        <v>155</v>
      </c>
      <c r="F288" s="6" t="s">
        <v>185</v>
      </c>
      <c r="G288" s="7" t="str">
        <f>+VLOOKUP(E288,Detail!$E$51:$F$95,2,0)</f>
        <v>INE054A01027</v>
      </c>
      <c r="H288" s="8">
        <v>46090</v>
      </c>
      <c r="I288" s="7" t="s">
        <v>195</v>
      </c>
      <c r="J288" s="9">
        <v>1241</v>
      </c>
      <c r="K288" s="9">
        <v>353.97919999999999</v>
      </c>
      <c r="L288" s="9">
        <v>439639.64</v>
      </c>
    </row>
    <row r="289" spans="1:12" x14ac:dyDescent="0.35">
      <c r="A289" s="6" t="s">
        <v>116</v>
      </c>
      <c r="B289" s="6" t="s">
        <v>211</v>
      </c>
      <c r="C289" s="6" t="s">
        <v>210</v>
      </c>
      <c r="D289" s="7" t="s">
        <v>232</v>
      </c>
      <c r="E289" s="7" t="s">
        <v>137</v>
      </c>
      <c r="F289" s="6" t="s">
        <v>185</v>
      </c>
      <c r="G289" s="7" t="str">
        <f>+VLOOKUP(E289,Detail!$E$51:$F$95,2,0)</f>
        <v>INE765G01017</v>
      </c>
      <c r="H289" s="8">
        <v>46087</v>
      </c>
      <c r="I289" s="7" t="s">
        <v>195</v>
      </c>
      <c r="J289" s="9">
        <v>20</v>
      </c>
      <c r="K289" s="9">
        <v>1883.1808000000001</v>
      </c>
      <c r="L289" s="9">
        <v>37692.85</v>
      </c>
    </row>
    <row r="290" spans="1:12" x14ac:dyDescent="0.35">
      <c r="A290" s="6" t="s">
        <v>116</v>
      </c>
      <c r="B290" s="6" t="s">
        <v>211</v>
      </c>
      <c r="C290" s="6" t="s">
        <v>210</v>
      </c>
      <c r="D290" s="7" t="s">
        <v>232</v>
      </c>
      <c r="E290" s="7" t="s">
        <v>149</v>
      </c>
      <c r="F290" s="6" t="s">
        <v>185</v>
      </c>
      <c r="G290" s="7" t="str">
        <f>+VLOOKUP(E290,Detail!$E$51:$F$95,2,0)</f>
        <v>INE481G01011</v>
      </c>
      <c r="H290" s="8">
        <v>46087</v>
      </c>
      <c r="I290" s="7" t="s">
        <v>195</v>
      </c>
      <c r="J290" s="9">
        <v>1</v>
      </c>
      <c r="K290" s="9">
        <v>12037.553599999999</v>
      </c>
      <c r="L290" s="9">
        <v>12046.89</v>
      </c>
    </row>
    <row r="291" spans="1:12" x14ac:dyDescent="0.35">
      <c r="A291" s="6" t="s">
        <v>116</v>
      </c>
      <c r="B291" s="6" t="s">
        <v>211</v>
      </c>
      <c r="C291" s="6" t="s">
        <v>210</v>
      </c>
      <c r="D291" s="7" t="s">
        <v>232</v>
      </c>
      <c r="E291" s="7" t="s">
        <v>137</v>
      </c>
      <c r="F291" s="6" t="s">
        <v>185</v>
      </c>
      <c r="G291" s="7" t="str">
        <f>+VLOOKUP(E291,Detail!$E$51:$F$95,2,0)</f>
        <v>INE765G01017</v>
      </c>
      <c r="H291" s="8">
        <v>46085</v>
      </c>
      <c r="I291" s="7" t="s">
        <v>194</v>
      </c>
      <c r="J291" s="9">
        <v>27</v>
      </c>
      <c r="K291" s="9">
        <v>1860.2307000000001</v>
      </c>
      <c r="L291" s="9">
        <v>50194.79</v>
      </c>
    </row>
    <row r="292" spans="1:12" x14ac:dyDescent="0.35">
      <c r="A292" s="6" t="s">
        <v>116</v>
      </c>
      <c r="B292" s="6" t="s">
        <v>211</v>
      </c>
      <c r="C292" s="6" t="s">
        <v>210</v>
      </c>
      <c r="D292" s="7" t="s">
        <v>232</v>
      </c>
      <c r="E292" s="7" t="s">
        <v>155</v>
      </c>
      <c r="F292" s="6" t="s">
        <v>185</v>
      </c>
      <c r="G292" s="7" t="str">
        <f>+VLOOKUP(E292,Detail!$E$51:$F$95,2,0)</f>
        <v>INE054A01027</v>
      </c>
      <c r="H292" s="8">
        <v>46083</v>
      </c>
      <c r="I292" s="7" t="s">
        <v>195</v>
      </c>
      <c r="J292" s="9">
        <v>100</v>
      </c>
      <c r="K292" s="9">
        <v>357.18779999999998</v>
      </c>
      <c r="L292" s="9">
        <v>35745.21</v>
      </c>
    </row>
    <row r="293" spans="1:12" x14ac:dyDescent="0.35">
      <c r="A293" s="6" t="s">
        <v>116</v>
      </c>
      <c r="B293" s="6" t="s">
        <v>211</v>
      </c>
      <c r="C293" s="6" t="s">
        <v>210</v>
      </c>
      <c r="D293" s="7" t="s">
        <v>232</v>
      </c>
      <c r="E293" s="7" t="s">
        <v>27</v>
      </c>
      <c r="F293" s="6" t="s">
        <v>185</v>
      </c>
      <c r="G293" s="7" t="str">
        <f>+VLOOKUP(E293,Detail!$E$51:$F$95,2,0)</f>
        <v>INE397D01024</v>
      </c>
      <c r="H293" s="8">
        <v>46080</v>
      </c>
      <c r="I293" s="7" t="s">
        <v>195</v>
      </c>
      <c r="J293" s="9">
        <v>10</v>
      </c>
      <c r="K293" s="9">
        <v>1883.3720000000001</v>
      </c>
      <c r="L293" s="9">
        <v>18843.14</v>
      </c>
    </row>
    <row r="294" spans="1:12" x14ac:dyDescent="0.35">
      <c r="A294" s="6" t="s">
        <v>116</v>
      </c>
      <c r="B294" s="6" t="s">
        <v>211</v>
      </c>
      <c r="C294" s="6" t="s">
        <v>210</v>
      </c>
      <c r="D294" s="7" t="s">
        <v>232</v>
      </c>
      <c r="E294" s="7" t="s">
        <v>125</v>
      </c>
      <c r="F294" s="6" t="s">
        <v>185</v>
      </c>
      <c r="G294" s="7" t="str">
        <f>+VLOOKUP(E294,Detail!$E$51:$F$95,2,0)</f>
        <v>INE917M01012</v>
      </c>
      <c r="H294" s="8">
        <v>46080</v>
      </c>
      <c r="I294" s="7" t="s">
        <v>195</v>
      </c>
      <c r="J294" s="9">
        <v>16</v>
      </c>
      <c r="K294" s="9">
        <v>416.67169999999999</v>
      </c>
      <c r="L294" s="9">
        <v>6670.09</v>
      </c>
    </row>
    <row r="295" spans="1:12" x14ac:dyDescent="0.35">
      <c r="A295" s="6" t="s">
        <v>116</v>
      </c>
      <c r="B295" s="6" t="s">
        <v>211</v>
      </c>
      <c r="C295" s="6" t="s">
        <v>210</v>
      </c>
      <c r="D295" s="7" t="s">
        <v>232</v>
      </c>
      <c r="E295" s="7" t="s">
        <v>41</v>
      </c>
      <c r="F295" s="6" t="s">
        <v>185</v>
      </c>
      <c r="G295" s="7" t="str">
        <f>+VLOOKUP(E295,Detail!$E$51:$F$95,2,0)</f>
        <v>INE646L01027</v>
      </c>
      <c r="H295" s="8">
        <v>46080</v>
      </c>
      <c r="I295" s="7" t="s">
        <v>195</v>
      </c>
      <c r="J295" s="9">
        <v>5</v>
      </c>
      <c r="K295" s="9">
        <v>4832.9103999999998</v>
      </c>
      <c r="L295" s="9">
        <v>24176.63</v>
      </c>
    </row>
    <row r="296" spans="1:12" x14ac:dyDescent="0.35">
      <c r="A296" s="6" t="s">
        <v>116</v>
      </c>
      <c r="B296" s="6" t="s">
        <v>211</v>
      </c>
      <c r="C296" s="6" t="s">
        <v>210</v>
      </c>
      <c r="D296" s="7" t="s">
        <v>232</v>
      </c>
      <c r="E296" s="7" t="s">
        <v>133</v>
      </c>
      <c r="F296" s="6" t="s">
        <v>185</v>
      </c>
      <c r="G296" s="7" t="str">
        <f>+VLOOKUP(E296,Detail!$E$51:$F$95,2,0)</f>
        <v>INE030A01027</v>
      </c>
      <c r="H296" s="8">
        <v>46079</v>
      </c>
      <c r="I296" s="7" t="s">
        <v>194</v>
      </c>
      <c r="J296" s="9">
        <v>20</v>
      </c>
      <c r="K296" s="9">
        <v>2380.7831999999999</v>
      </c>
      <c r="L296" s="9">
        <v>47591.85</v>
      </c>
    </row>
    <row r="297" spans="1:12" x14ac:dyDescent="0.35">
      <c r="A297" s="6" t="s">
        <v>116</v>
      </c>
      <c r="B297" s="6" t="s">
        <v>211</v>
      </c>
      <c r="C297" s="6" t="s">
        <v>210</v>
      </c>
      <c r="D297" s="7" t="s">
        <v>232</v>
      </c>
      <c r="E297" s="7" t="s">
        <v>133</v>
      </c>
      <c r="F297" s="6" t="s">
        <v>185</v>
      </c>
      <c r="G297" s="7" t="str">
        <f>+VLOOKUP(E297,Detail!$E$51:$F$95,2,0)</f>
        <v>INE030A01027</v>
      </c>
      <c r="H297" s="8">
        <v>46078</v>
      </c>
      <c r="I297" s="7" t="s">
        <v>194</v>
      </c>
      <c r="J297" s="9">
        <v>22</v>
      </c>
      <c r="K297" s="9">
        <v>2361.0924</v>
      </c>
      <c r="L297" s="9">
        <v>51913.38</v>
      </c>
    </row>
    <row r="298" spans="1:12" x14ac:dyDescent="0.35">
      <c r="A298" s="6" t="s">
        <v>116</v>
      </c>
      <c r="B298" s="6" t="s">
        <v>211</v>
      </c>
      <c r="C298" s="6" t="s">
        <v>210</v>
      </c>
      <c r="D298" s="7" t="s">
        <v>232</v>
      </c>
      <c r="E298" s="7" t="s">
        <v>205</v>
      </c>
      <c r="F298" s="6" t="s">
        <v>185</v>
      </c>
      <c r="G298" s="7" t="s">
        <v>237</v>
      </c>
      <c r="H298" s="8">
        <v>46077</v>
      </c>
      <c r="I298" s="7" t="s">
        <v>195</v>
      </c>
      <c r="J298" s="9">
        <v>200</v>
      </c>
      <c r="K298" s="9">
        <v>455.15019999999998</v>
      </c>
      <c r="L298" s="9">
        <v>91073.01</v>
      </c>
    </row>
    <row r="299" spans="1:12" x14ac:dyDescent="0.35">
      <c r="A299" s="6" t="s">
        <v>116</v>
      </c>
      <c r="B299" s="6" t="s">
        <v>211</v>
      </c>
      <c r="C299" s="6" t="s">
        <v>210</v>
      </c>
      <c r="D299" s="7" t="s">
        <v>232</v>
      </c>
      <c r="E299" s="7" t="s">
        <v>69</v>
      </c>
      <c r="F299" s="6" t="s">
        <v>185</v>
      </c>
      <c r="G299" s="7" t="str">
        <f>+VLOOKUP(E299,Detail!$E$51:$F$95,2,0)</f>
        <v>INE296A01032</v>
      </c>
      <c r="H299" s="8">
        <v>46069</v>
      </c>
      <c r="I299" s="7" t="s">
        <v>195</v>
      </c>
      <c r="J299" s="9">
        <v>70</v>
      </c>
      <c r="K299" s="9">
        <v>1019.8084</v>
      </c>
      <c r="L299" s="9">
        <v>71439.42</v>
      </c>
    </row>
    <row r="300" spans="1:12" x14ac:dyDescent="0.35">
      <c r="A300" s="6" t="s">
        <v>116</v>
      </c>
      <c r="B300" s="6" t="s">
        <v>211</v>
      </c>
      <c r="C300" s="6" t="s">
        <v>210</v>
      </c>
      <c r="D300" s="7" t="s">
        <v>232</v>
      </c>
      <c r="E300" s="7" t="s">
        <v>25</v>
      </c>
      <c r="F300" s="6" t="s">
        <v>185</v>
      </c>
      <c r="G300" s="7" t="s">
        <v>26</v>
      </c>
      <c r="H300" s="8">
        <v>46065</v>
      </c>
      <c r="I300" s="7" t="s">
        <v>195</v>
      </c>
      <c r="J300" s="9">
        <v>35</v>
      </c>
      <c r="K300" s="9">
        <v>1149.7837</v>
      </c>
      <c r="L300" s="9">
        <v>40274.620000000003</v>
      </c>
    </row>
    <row r="301" spans="1:12" x14ac:dyDescent="0.35">
      <c r="A301" s="6" t="s">
        <v>116</v>
      </c>
      <c r="B301" s="6" t="s">
        <v>211</v>
      </c>
      <c r="C301" s="6" t="s">
        <v>210</v>
      </c>
      <c r="D301" s="7" t="s">
        <v>232</v>
      </c>
      <c r="E301" s="7" t="s">
        <v>125</v>
      </c>
      <c r="F301" s="6" t="s">
        <v>185</v>
      </c>
      <c r="G301" s="7" t="str">
        <f>+VLOOKUP(E301,Detail!$E$51:$F$95,2,0)</f>
        <v>INE917M01012</v>
      </c>
      <c r="H301" s="8">
        <v>46065</v>
      </c>
      <c r="I301" s="7" t="s">
        <v>195</v>
      </c>
      <c r="J301" s="9">
        <v>30</v>
      </c>
      <c r="K301" s="9">
        <v>458.60250000000002</v>
      </c>
      <c r="L301" s="9">
        <v>13769.09</v>
      </c>
    </row>
    <row r="302" spans="1:12" x14ac:dyDescent="0.35">
      <c r="A302" s="6" t="s">
        <v>116</v>
      </c>
      <c r="B302" s="6" t="s">
        <v>211</v>
      </c>
      <c r="C302" s="6" t="s">
        <v>210</v>
      </c>
      <c r="D302" s="7" t="s">
        <v>232</v>
      </c>
      <c r="E302" s="7" t="s">
        <v>205</v>
      </c>
      <c r="F302" s="6" t="s">
        <v>185</v>
      </c>
      <c r="G302" s="7" t="s">
        <v>237</v>
      </c>
      <c r="H302" s="8">
        <v>46065</v>
      </c>
      <c r="I302" s="7" t="s">
        <v>195</v>
      </c>
      <c r="J302" s="9">
        <v>490</v>
      </c>
      <c r="K302" s="9">
        <v>454.39089999999999</v>
      </c>
      <c r="L302" s="9">
        <v>222829.67</v>
      </c>
    </row>
    <row r="303" spans="1:12" x14ac:dyDescent="0.35">
      <c r="A303" s="6" t="s">
        <v>116</v>
      </c>
      <c r="B303" s="6" t="s">
        <v>211</v>
      </c>
      <c r="C303" s="6" t="s">
        <v>210</v>
      </c>
      <c r="D303" s="7" t="s">
        <v>232</v>
      </c>
      <c r="E303" s="7" t="s">
        <v>133</v>
      </c>
      <c r="F303" s="6" t="s">
        <v>185</v>
      </c>
      <c r="G303" s="7" t="str">
        <f>+VLOOKUP(E303,Detail!$E$51:$F$95,2,0)</f>
        <v>INE030A01027</v>
      </c>
      <c r="H303" s="8">
        <v>46063</v>
      </c>
      <c r="I303" s="7" t="s">
        <v>194</v>
      </c>
      <c r="J303" s="9">
        <v>21</v>
      </c>
      <c r="K303" s="9">
        <v>2441.4351999999999</v>
      </c>
      <c r="L303" s="9">
        <v>51227.02</v>
      </c>
    </row>
    <row r="304" spans="1:12" x14ac:dyDescent="0.35">
      <c r="A304" s="6" t="s">
        <v>116</v>
      </c>
      <c r="B304" s="6" t="s">
        <v>211</v>
      </c>
      <c r="C304" s="6" t="s">
        <v>210</v>
      </c>
      <c r="D304" s="7" t="s">
        <v>232</v>
      </c>
      <c r="E304" s="7" t="s">
        <v>207</v>
      </c>
      <c r="F304" s="6" t="s">
        <v>185</v>
      </c>
      <c r="G304" s="7" t="s">
        <v>236</v>
      </c>
      <c r="H304" s="8">
        <v>46063</v>
      </c>
      <c r="I304" s="7" t="s">
        <v>194</v>
      </c>
      <c r="J304" s="9">
        <v>45</v>
      </c>
      <c r="K304" s="9">
        <v>6594.5691999999999</v>
      </c>
      <c r="L304" s="9">
        <v>296506.03999999998</v>
      </c>
    </row>
    <row r="305" spans="1:12" x14ac:dyDescent="0.35">
      <c r="A305" s="6" t="s">
        <v>116</v>
      </c>
      <c r="B305" s="6" t="s">
        <v>211</v>
      </c>
      <c r="C305" s="6" t="s">
        <v>210</v>
      </c>
      <c r="D305" s="7" t="s">
        <v>232</v>
      </c>
      <c r="E305" s="7" t="s">
        <v>133</v>
      </c>
      <c r="F305" s="6" t="s">
        <v>185</v>
      </c>
      <c r="G305" s="7" t="str">
        <f>+VLOOKUP(E305,Detail!$E$51:$F$95,2,0)</f>
        <v>INE030A01027</v>
      </c>
      <c r="H305" s="8">
        <v>46062</v>
      </c>
      <c r="I305" s="7" t="s">
        <v>194</v>
      </c>
      <c r="J305" s="9">
        <v>42</v>
      </c>
      <c r="K305" s="9">
        <v>2427.3285000000001</v>
      </c>
      <c r="L305" s="9">
        <v>101896.82</v>
      </c>
    </row>
    <row r="306" spans="1:12" x14ac:dyDescent="0.35">
      <c r="A306" s="6" t="s">
        <v>116</v>
      </c>
      <c r="B306" s="6" t="s">
        <v>211</v>
      </c>
      <c r="C306" s="6" t="s">
        <v>210</v>
      </c>
      <c r="D306" s="7" t="s">
        <v>232</v>
      </c>
      <c r="E306" s="7" t="s">
        <v>13</v>
      </c>
      <c r="F306" s="6" t="s">
        <v>185</v>
      </c>
      <c r="G306" s="7" t="str">
        <f>+VLOOKUP(E306,Detail!$E$51:$F$95,2,0)</f>
        <v>INE238A01034</v>
      </c>
      <c r="H306" s="8">
        <v>46059</v>
      </c>
      <c r="I306" s="7" t="s">
        <v>195</v>
      </c>
      <c r="J306" s="9">
        <v>72</v>
      </c>
      <c r="K306" s="9">
        <v>1341.5726</v>
      </c>
      <c r="L306" s="9">
        <v>96664.71</v>
      </c>
    </row>
    <row r="307" spans="1:12" x14ac:dyDescent="0.35">
      <c r="A307" s="6" t="s">
        <v>116</v>
      </c>
      <c r="B307" s="6" t="s">
        <v>211</v>
      </c>
      <c r="C307" s="6" t="s">
        <v>210</v>
      </c>
      <c r="D307" s="7" t="s">
        <v>232</v>
      </c>
      <c r="E307" s="7" t="s">
        <v>69</v>
      </c>
      <c r="F307" s="6" t="s">
        <v>185</v>
      </c>
      <c r="G307" s="7" t="str">
        <f>+VLOOKUP(E307,Detail!$E$51:$F$95,2,0)</f>
        <v>INE296A01032</v>
      </c>
      <c r="H307" s="8">
        <v>46059</v>
      </c>
      <c r="I307" s="7" t="s">
        <v>195</v>
      </c>
      <c r="J307" s="9">
        <v>80</v>
      </c>
      <c r="K307" s="9">
        <v>981.50639999999999</v>
      </c>
      <c r="L307" s="9">
        <v>78578.61</v>
      </c>
    </row>
    <row r="308" spans="1:12" x14ac:dyDescent="0.35">
      <c r="A308" s="6" t="s">
        <v>116</v>
      </c>
      <c r="B308" s="6" t="s">
        <v>211</v>
      </c>
      <c r="C308" s="6" t="s">
        <v>210</v>
      </c>
      <c r="D308" s="7" t="s">
        <v>232</v>
      </c>
      <c r="E308" s="7" t="s">
        <v>141</v>
      </c>
      <c r="F308" s="6" t="s">
        <v>185</v>
      </c>
      <c r="G308" s="7" t="str">
        <f>+VLOOKUP(E308,Detail!$E$51:$F$95,2,0)</f>
        <v>INE918Z01012</v>
      </c>
      <c r="H308" s="8">
        <v>46059</v>
      </c>
      <c r="I308" s="7" t="s">
        <v>195</v>
      </c>
      <c r="J308" s="9">
        <v>100</v>
      </c>
      <c r="K308" s="9">
        <v>3543.2321999999999</v>
      </c>
      <c r="L308" s="9">
        <v>354585.43</v>
      </c>
    </row>
    <row r="309" spans="1:12" x14ac:dyDescent="0.35">
      <c r="A309" s="6" t="s">
        <v>116</v>
      </c>
      <c r="B309" s="6" t="s">
        <v>211</v>
      </c>
      <c r="C309" s="6" t="s">
        <v>210</v>
      </c>
      <c r="D309" s="7" t="s">
        <v>232</v>
      </c>
      <c r="E309" s="7" t="s">
        <v>205</v>
      </c>
      <c r="F309" s="6" t="s">
        <v>185</v>
      </c>
      <c r="G309" s="7" t="s">
        <v>237</v>
      </c>
      <c r="H309" s="8">
        <v>46059</v>
      </c>
      <c r="I309" s="7" t="s">
        <v>195</v>
      </c>
      <c r="J309" s="9">
        <v>133</v>
      </c>
      <c r="K309" s="9">
        <v>439.04039999999998</v>
      </c>
      <c r="L309" s="9">
        <v>58435.58</v>
      </c>
    </row>
    <row r="310" spans="1:12" x14ac:dyDescent="0.35">
      <c r="A310" s="6" t="s">
        <v>116</v>
      </c>
      <c r="B310" s="6" t="s">
        <v>211</v>
      </c>
      <c r="C310" s="6" t="s">
        <v>210</v>
      </c>
      <c r="D310" s="7" t="s">
        <v>232</v>
      </c>
      <c r="E310" s="7" t="s">
        <v>125</v>
      </c>
      <c r="F310" s="6" t="s">
        <v>185</v>
      </c>
      <c r="G310" s="7" t="str">
        <f>+VLOOKUP(E310,Detail!$E$51:$F$95,2,0)</f>
        <v>INE917M01012</v>
      </c>
      <c r="H310" s="8">
        <v>46058</v>
      </c>
      <c r="I310" s="7" t="s">
        <v>195</v>
      </c>
      <c r="J310" s="9">
        <v>594</v>
      </c>
      <c r="K310" s="9">
        <v>463.09269999999998</v>
      </c>
      <c r="L310" s="9">
        <v>275214.59999999998</v>
      </c>
    </row>
    <row r="311" spans="1:12" x14ac:dyDescent="0.35">
      <c r="A311" s="6" t="s">
        <v>116</v>
      </c>
      <c r="B311" s="6" t="s">
        <v>211</v>
      </c>
      <c r="C311" s="6" t="s">
        <v>210</v>
      </c>
      <c r="D311" s="7" t="s">
        <v>232</v>
      </c>
      <c r="E311" s="7" t="s">
        <v>133</v>
      </c>
      <c r="F311" s="6" t="s">
        <v>185</v>
      </c>
      <c r="G311" s="7" t="str">
        <f>+VLOOKUP(E311,Detail!$E$51:$F$95,2,0)</f>
        <v>INE030A01027</v>
      </c>
      <c r="H311" s="8">
        <v>46056</v>
      </c>
      <c r="I311" s="7" t="s">
        <v>194</v>
      </c>
      <c r="J311" s="9">
        <v>10</v>
      </c>
      <c r="K311" s="9">
        <v>2381.6</v>
      </c>
      <c r="L311" s="9">
        <v>23804.09</v>
      </c>
    </row>
    <row r="312" spans="1:12" x14ac:dyDescent="0.35">
      <c r="A312" s="6" t="s">
        <v>116</v>
      </c>
      <c r="B312" s="6" t="s">
        <v>211</v>
      </c>
      <c r="C312" s="6" t="s">
        <v>210</v>
      </c>
      <c r="D312" s="7" t="s">
        <v>232</v>
      </c>
      <c r="E312" s="7" t="s">
        <v>39</v>
      </c>
      <c r="F312" s="6" t="s">
        <v>185</v>
      </c>
      <c r="G312" s="7" t="str">
        <f>+VLOOKUP(E312,Detail!$E$51:$F$95,2,0)</f>
        <v>INE090A01021</v>
      </c>
      <c r="H312" s="8">
        <v>46056</v>
      </c>
      <c r="I312" s="7" t="s">
        <v>194</v>
      </c>
      <c r="J312" s="9">
        <v>370</v>
      </c>
      <c r="K312" s="9">
        <v>1394.3525</v>
      </c>
      <c r="L312" s="9">
        <v>515652.47</v>
      </c>
    </row>
    <row r="313" spans="1:12" x14ac:dyDescent="0.35">
      <c r="A313" s="6" t="s">
        <v>116</v>
      </c>
      <c r="B313" s="6" t="s">
        <v>211</v>
      </c>
      <c r="C313" s="6" t="s">
        <v>210</v>
      </c>
      <c r="D313" s="7" t="s">
        <v>232</v>
      </c>
      <c r="E313" s="7" t="s">
        <v>206</v>
      </c>
      <c r="F313" s="6" t="s">
        <v>185</v>
      </c>
      <c r="G313" s="7" t="s">
        <v>235</v>
      </c>
      <c r="H313" s="8">
        <v>46056</v>
      </c>
      <c r="I313" s="7" t="s">
        <v>194</v>
      </c>
      <c r="J313" s="9">
        <v>53</v>
      </c>
      <c r="K313" s="9">
        <v>440.52569999999997</v>
      </c>
      <c r="L313" s="9">
        <v>23336.18</v>
      </c>
    </row>
    <row r="314" spans="1:12" x14ac:dyDescent="0.35">
      <c r="A314" s="6" t="s">
        <v>116</v>
      </c>
      <c r="B314" s="6" t="s">
        <v>211</v>
      </c>
      <c r="C314" s="6" t="s">
        <v>210</v>
      </c>
      <c r="D314" s="7" t="s">
        <v>232</v>
      </c>
      <c r="E314" s="7" t="s">
        <v>123</v>
      </c>
      <c r="F314" s="6" t="s">
        <v>185</v>
      </c>
      <c r="G314" s="7" t="str">
        <f>+VLOOKUP(E314,Detail!$E$51:$F$95,2,0)</f>
        <v>INE00R701025</v>
      </c>
      <c r="H314" s="8">
        <v>46055</v>
      </c>
      <c r="I314" s="7" t="s">
        <v>195</v>
      </c>
      <c r="J314" s="9">
        <v>179</v>
      </c>
      <c r="K314" s="9">
        <v>2063.5102000000002</v>
      </c>
      <c r="L314" s="9">
        <v>369734.37</v>
      </c>
    </row>
    <row r="315" spans="1:12" x14ac:dyDescent="0.35">
      <c r="A315" s="6" t="s">
        <v>116</v>
      </c>
      <c r="B315" s="6" t="s">
        <v>211</v>
      </c>
      <c r="C315" s="6" t="s">
        <v>210</v>
      </c>
      <c r="D315" s="7" t="s">
        <v>232</v>
      </c>
      <c r="E315" s="7" t="s">
        <v>131</v>
      </c>
      <c r="F315" s="6" t="s">
        <v>185</v>
      </c>
      <c r="G315" s="7" t="str">
        <f>+VLOOKUP(E315,Detail!$E$51:$F$95,2,0)</f>
        <v>INE101D01020</v>
      </c>
      <c r="H315" s="8">
        <v>46055</v>
      </c>
      <c r="I315" s="7" t="s">
        <v>195</v>
      </c>
      <c r="J315" s="9">
        <v>488</v>
      </c>
      <c r="K315" s="9">
        <v>552.55280000000005</v>
      </c>
      <c r="L315" s="9">
        <v>269913</v>
      </c>
    </row>
    <row r="316" spans="1:12" x14ac:dyDescent="0.35">
      <c r="A316" s="6" t="s">
        <v>116</v>
      </c>
      <c r="B316" s="6" t="s">
        <v>211</v>
      </c>
      <c r="C316" s="6" t="s">
        <v>210</v>
      </c>
      <c r="D316" s="7" t="s">
        <v>232</v>
      </c>
      <c r="E316" s="7" t="s">
        <v>133</v>
      </c>
      <c r="F316" s="6" t="s">
        <v>185</v>
      </c>
      <c r="G316" s="7" t="str">
        <f>+VLOOKUP(E316,Detail!$E$51:$F$95,2,0)</f>
        <v>INE030A01027</v>
      </c>
      <c r="H316" s="8">
        <v>46055</v>
      </c>
      <c r="I316" s="7" t="s">
        <v>195</v>
      </c>
      <c r="J316" s="9">
        <v>302</v>
      </c>
      <c r="K316" s="9">
        <v>2350.8948999999998</v>
      </c>
      <c r="L316" s="9">
        <v>710673.83</v>
      </c>
    </row>
    <row r="317" spans="1:12" x14ac:dyDescent="0.35">
      <c r="A317" s="6" t="s">
        <v>116</v>
      </c>
      <c r="B317" s="6" t="s">
        <v>211</v>
      </c>
      <c r="C317" s="6" t="s">
        <v>210</v>
      </c>
      <c r="D317" s="7" t="s">
        <v>232</v>
      </c>
      <c r="E317" s="7" t="s">
        <v>39</v>
      </c>
      <c r="F317" s="6" t="s">
        <v>185</v>
      </c>
      <c r="G317" s="7" t="str">
        <f>+VLOOKUP(E317,Detail!$E$51:$F$95,2,0)</f>
        <v>INE090A01021</v>
      </c>
      <c r="H317" s="8">
        <v>46055</v>
      </c>
      <c r="I317" s="7" t="s">
        <v>195</v>
      </c>
      <c r="J317" s="9">
        <v>404</v>
      </c>
      <c r="K317" s="9">
        <v>1352.4031</v>
      </c>
      <c r="L317" s="9">
        <v>546912.29</v>
      </c>
    </row>
    <row r="318" spans="1:12" x14ac:dyDescent="0.35">
      <c r="A318" s="6" t="s">
        <v>116</v>
      </c>
      <c r="B318" s="6" t="s">
        <v>211</v>
      </c>
      <c r="C318" s="6" t="s">
        <v>210</v>
      </c>
      <c r="D318" s="7" t="s">
        <v>232</v>
      </c>
      <c r="E318" s="7" t="s">
        <v>45</v>
      </c>
      <c r="F318" s="6" t="s">
        <v>185</v>
      </c>
      <c r="G318" s="7" t="str">
        <f>+VLOOKUP(E318,Detail!$E$51:$F$95,2,0)</f>
        <v>INE018A01030</v>
      </c>
      <c r="H318" s="8">
        <v>46055</v>
      </c>
      <c r="I318" s="7" t="s">
        <v>195</v>
      </c>
      <c r="J318" s="9">
        <v>94</v>
      </c>
      <c r="K318" s="9">
        <v>3921.5535</v>
      </c>
      <c r="L318" s="9">
        <v>368991.34</v>
      </c>
    </row>
    <row r="319" spans="1:12" x14ac:dyDescent="0.35">
      <c r="A319" s="6" t="s">
        <v>116</v>
      </c>
      <c r="B319" s="6" t="s">
        <v>211</v>
      </c>
      <c r="C319" s="6" t="s">
        <v>210</v>
      </c>
      <c r="D319" s="7" t="s">
        <v>232</v>
      </c>
      <c r="E319" s="7" t="s">
        <v>207</v>
      </c>
      <c r="F319" s="6" t="s">
        <v>185</v>
      </c>
      <c r="G319" s="7" t="s">
        <v>236</v>
      </c>
      <c r="H319" s="8">
        <v>46055</v>
      </c>
      <c r="I319" s="7" t="s">
        <v>195</v>
      </c>
      <c r="J319" s="9">
        <v>45</v>
      </c>
      <c r="K319" s="9">
        <v>5899.3635000000004</v>
      </c>
      <c r="L319" s="9">
        <v>265734.44</v>
      </c>
    </row>
    <row r="320" spans="1:12" x14ac:dyDescent="0.35">
      <c r="A320" s="6" t="s">
        <v>116</v>
      </c>
      <c r="B320" s="6" t="s">
        <v>211</v>
      </c>
      <c r="C320" s="6" t="s">
        <v>210</v>
      </c>
      <c r="D320" s="7" t="s">
        <v>232</v>
      </c>
      <c r="E320" s="7" t="s">
        <v>21</v>
      </c>
      <c r="F320" s="6" t="s">
        <v>185</v>
      </c>
      <c r="G320" s="7" t="str">
        <f>+VLOOKUP(E320,Detail!$E$51:$F$95,2,0)</f>
        <v>INE982J01020</v>
      </c>
      <c r="H320" s="8">
        <v>46055</v>
      </c>
      <c r="I320" s="7" t="s">
        <v>195</v>
      </c>
      <c r="J320" s="9">
        <v>310</v>
      </c>
      <c r="K320" s="9">
        <v>1171.1035999999999</v>
      </c>
      <c r="L320" s="9">
        <v>363401.91</v>
      </c>
    </row>
    <row r="321" spans="1:12" x14ac:dyDescent="0.35">
      <c r="A321" s="6" t="s">
        <v>116</v>
      </c>
      <c r="B321" s="6" t="s">
        <v>211</v>
      </c>
      <c r="C321" s="6" t="s">
        <v>210</v>
      </c>
      <c r="D321" s="7" t="s">
        <v>232</v>
      </c>
      <c r="E321" s="7" t="s">
        <v>77</v>
      </c>
      <c r="F321" s="6" t="s">
        <v>185</v>
      </c>
      <c r="G321" s="7" t="str">
        <f>+VLOOKUP(E321,Detail!$E$51:$F$95,2,0)</f>
        <v>INE062A01020</v>
      </c>
      <c r="H321" s="8">
        <v>46055</v>
      </c>
      <c r="I321" s="7" t="s">
        <v>195</v>
      </c>
      <c r="J321" s="9">
        <v>265</v>
      </c>
      <c r="K321" s="9">
        <v>1029.0679</v>
      </c>
      <c r="L321" s="9">
        <v>272973.24</v>
      </c>
    </row>
    <row r="322" spans="1:12" x14ac:dyDescent="0.35">
      <c r="A322" s="6" t="s">
        <v>116</v>
      </c>
      <c r="B322" s="6" t="s">
        <v>211</v>
      </c>
      <c r="C322" s="6" t="s">
        <v>210</v>
      </c>
      <c r="D322" s="7" t="s">
        <v>232</v>
      </c>
      <c r="E322" s="7" t="s">
        <v>25</v>
      </c>
      <c r="F322" s="6" t="s">
        <v>185</v>
      </c>
      <c r="G322" s="7" t="s">
        <v>26</v>
      </c>
      <c r="H322" s="8">
        <v>46054</v>
      </c>
      <c r="I322" s="7" t="s">
        <v>195</v>
      </c>
      <c r="J322" s="9">
        <v>327</v>
      </c>
      <c r="K322" s="9">
        <v>1177.0740000000001</v>
      </c>
      <c r="L322" s="9">
        <v>385188.02</v>
      </c>
    </row>
    <row r="323" spans="1:12" x14ac:dyDescent="0.35">
      <c r="A323" s="6" t="s">
        <v>116</v>
      </c>
      <c r="B323" s="6" t="s">
        <v>211</v>
      </c>
      <c r="C323" s="6" t="s">
        <v>210</v>
      </c>
      <c r="D323" s="7" t="s">
        <v>232</v>
      </c>
      <c r="E323" s="7" t="s">
        <v>119</v>
      </c>
      <c r="F323" s="6" t="s">
        <v>185</v>
      </c>
      <c r="G323" s="7" t="str">
        <f>+VLOOKUP(E323,Detail!$E$51:$F$95,2,0)</f>
        <v>INE917I01010</v>
      </c>
      <c r="H323" s="8">
        <v>46054</v>
      </c>
      <c r="I323" s="7" t="s">
        <v>195</v>
      </c>
      <c r="J323" s="9">
        <v>28</v>
      </c>
      <c r="K323" s="9">
        <v>9507.3467999999993</v>
      </c>
      <c r="L323" s="9">
        <v>266402.7</v>
      </c>
    </row>
    <row r="324" spans="1:12" x14ac:dyDescent="0.35">
      <c r="A324" s="6" t="s">
        <v>116</v>
      </c>
      <c r="B324" s="6" t="s">
        <v>211</v>
      </c>
      <c r="C324" s="6" t="s">
        <v>210</v>
      </c>
      <c r="D324" s="7" t="s">
        <v>232</v>
      </c>
      <c r="E324" s="7" t="s">
        <v>27</v>
      </c>
      <c r="F324" s="6" t="s">
        <v>185</v>
      </c>
      <c r="G324" s="7" t="str">
        <f>+VLOOKUP(E324,Detail!$E$51:$F$95,2,0)</f>
        <v>INE397D01024</v>
      </c>
      <c r="H324" s="8">
        <v>46054</v>
      </c>
      <c r="I324" s="7" t="s">
        <v>195</v>
      </c>
      <c r="J324" s="9">
        <v>137</v>
      </c>
      <c r="K324" s="9">
        <v>1957.7907</v>
      </c>
      <c r="L324" s="9">
        <v>268415.82</v>
      </c>
    </row>
    <row r="325" spans="1:12" x14ac:dyDescent="0.35">
      <c r="A325" s="6" t="s">
        <v>116</v>
      </c>
      <c r="B325" s="6" t="s">
        <v>211</v>
      </c>
      <c r="C325" s="6" t="s">
        <v>210</v>
      </c>
      <c r="D325" s="7" t="s">
        <v>232</v>
      </c>
      <c r="E325" s="7" t="s">
        <v>121</v>
      </c>
      <c r="F325" s="6" t="s">
        <v>185</v>
      </c>
      <c r="G325" s="7" t="str">
        <f>+VLOOKUP(E325,Detail!$E$51:$F$95,2,0)</f>
        <v>INE216A01030</v>
      </c>
      <c r="H325" s="8">
        <v>46054</v>
      </c>
      <c r="I325" s="7" t="s">
        <v>195</v>
      </c>
      <c r="J325" s="9">
        <v>62</v>
      </c>
      <c r="K325" s="9">
        <v>5783.6836999999996</v>
      </c>
      <c r="L325" s="9">
        <v>358853.74</v>
      </c>
    </row>
    <row r="326" spans="1:12" x14ac:dyDescent="0.35">
      <c r="A326" s="6" t="s">
        <v>116</v>
      </c>
      <c r="B326" s="6" t="s">
        <v>211</v>
      </c>
      <c r="C326" s="6" t="s">
        <v>210</v>
      </c>
      <c r="D326" s="7" t="s">
        <v>232</v>
      </c>
      <c r="E326" s="7" t="s">
        <v>129</v>
      </c>
      <c r="F326" s="6" t="s">
        <v>185</v>
      </c>
      <c r="G326" s="7" t="str">
        <f>+VLOOKUP(E326,Detail!$E$51:$F$95,2,0)</f>
        <v>INE935A01035</v>
      </c>
      <c r="H326" s="8">
        <v>46054</v>
      </c>
      <c r="I326" s="7" t="s">
        <v>195</v>
      </c>
      <c r="J326" s="9">
        <v>151</v>
      </c>
      <c r="K326" s="9">
        <v>1954.8577</v>
      </c>
      <c r="L326" s="9">
        <v>295401.95</v>
      </c>
    </row>
    <row r="327" spans="1:12" x14ac:dyDescent="0.35">
      <c r="A327" s="6" t="s">
        <v>116</v>
      </c>
      <c r="B327" s="6" t="s">
        <v>211</v>
      </c>
      <c r="C327" s="6" t="s">
        <v>210</v>
      </c>
      <c r="D327" s="7" t="s">
        <v>232</v>
      </c>
      <c r="E327" s="7" t="s">
        <v>131</v>
      </c>
      <c r="F327" s="6" t="s">
        <v>185</v>
      </c>
      <c r="G327" s="7" t="str">
        <f>+VLOOKUP(E327,Detail!$E$51:$F$95,2,0)</f>
        <v>INE101D01020</v>
      </c>
      <c r="H327" s="8">
        <v>46054</v>
      </c>
      <c r="I327" s="7" t="s">
        <v>195</v>
      </c>
      <c r="J327" s="9">
        <v>473</v>
      </c>
      <c r="K327" s="9">
        <v>553.44029999999998</v>
      </c>
      <c r="L327" s="9">
        <v>261970.95</v>
      </c>
    </row>
    <row r="328" spans="1:12" x14ac:dyDescent="0.35">
      <c r="A328" s="6" t="s">
        <v>116</v>
      </c>
      <c r="B328" s="6" t="s">
        <v>211</v>
      </c>
      <c r="C328" s="6" t="s">
        <v>210</v>
      </c>
      <c r="D328" s="7" t="s">
        <v>232</v>
      </c>
      <c r="E328" s="7" t="s">
        <v>133</v>
      </c>
      <c r="F328" s="6" t="s">
        <v>185</v>
      </c>
      <c r="G328" s="7" t="str">
        <f>+VLOOKUP(E328,Detail!$E$51:$F$95,2,0)</f>
        <v>INE030A01027</v>
      </c>
      <c r="H328" s="8">
        <v>46054</v>
      </c>
      <c r="I328" s="7" t="s">
        <v>195</v>
      </c>
      <c r="J328" s="9">
        <v>151</v>
      </c>
      <c r="K328" s="9">
        <v>2352.7489</v>
      </c>
      <c r="L328" s="9">
        <v>355527.97</v>
      </c>
    </row>
    <row r="329" spans="1:12" x14ac:dyDescent="0.35">
      <c r="A329" s="6" t="s">
        <v>116</v>
      </c>
      <c r="B329" s="6" t="s">
        <v>211</v>
      </c>
      <c r="C329" s="6" t="s">
        <v>210</v>
      </c>
      <c r="D329" s="7" t="s">
        <v>232</v>
      </c>
      <c r="E329" s="7" t="s">
        <v>39</v>
      </c>
      <c r="F329" s="6" t="s">
        <v>185</v>
      </c>
      <c r="G329" s="7" t="str">
        <f>+VLOOKUP(E329,Detail!$E$51:$F$95,2,0)</f>
        <v>INE090A01021</v>
      </c>
      <c r="H329" s="8">
        <v>46054</v>
      </c>
      <c r="I329" s="7" t="s">
        <v>195</v>
      </c>
      <c r="J329" s="9">
        <v>398</v>
      </c>
      <c r="K329" s="9">
        <v>1340.8432</v>
      </c>
      <c r="L329" s="9">
        <v>534050.49</v>
      </c>
    </row>
    <row r="330" spans="1:12" x14ac:dyDescent="0.35">
      <c r="A330" s="6" t="s">
        <v>116</v>
      </c>
      <c r="B330" s="6" t="s">
        <v>211</v>
      </c>
      <c r="C330" s="6" t="s">
        <v>210</v>
      </c>
      <c r="D330" s="7" t="s">
        <v>232</v>
      </c>
      <c r="E330" s="7" t="s">
        <v>137</v>
      </c>
      <c r="F330" s="6" t="s">
        <v>185</v>
      </c>
      <c r="G330" s="7" t="str">
        <f>+VLOOKUP(E330,Detail!$E$51:$F$95,2,0)</f>
        <v>INE765G01017</v>
      </c>
      <c r="H330" s="8">
        <v>46054</v>
      </c>
      <c r="I330" s="7" t="s">
        <v>195</v>
      </c>
      <c r="J330" s="9">
        <v>198</v>
      </c>
      <c r="K330" s="9">
        <v>1831.1576</v>
      </c>
      <c r="L330" s="9">
        <v>362837.51</v>
      </c>
    </row>
    <row r="331" spans="1:12" x14ac:dyDescent="0.35">
      <c r="A331" s="6" t="s">
        <v>116</v>
      </c>
      <c r="B331" s="6" t="s">
        <v>211</v>
      </c>
      <c r="C331" s="6" t="s">
        <v>210</v>
      </c>
      <c r="D331" s="7" t="s">
        <v>232</v>
      </c>
      <c r="E331" s="7" t="s">
        <v>206</v>
      </c>
      <c r="F331" s="6" t="s">
        <v>185</v>
      </c>
      <c r="G331" s="7" t="s">
        <v>235</v>
      </c>
      <c r="H331" s="8">
        <v>46054</v>
      </c>
      <c r="I331" s="7" t="s">
        <v>195</v>
      </c>
      <c r="J331" s="9">
        <v>810</v>
      </c>
      <c r="K331" s="9">
        <v>428.18680000000001</v>
      </c>
      <c r="L331" s="9">
        <v>347088</v>
      </c>
    </row>
    <row r="332" spans="1:12" x14ac:dyDescent="0.35">
      <c r="A332" s="6" t="s">
        <v>116</v>
      </c>
      <c r="B332" s="6" t="s">
        <v>211</v>
      </c>
      <c r="C332" s="6" t="s">
        <v>210</v>
      </c>
      <c r="D332" s="7" t="s">
        <v>232</v>
      </c>
      <c r="E332" s="7" t="s">
        <v>41</v>
      </c>
      <c r="F332" s="6" t="s">
        <v>185</v>
      </c>
      <c r="G332" s="7" t="str">
        <f>+VLOOKUP(E332,Detail!$E$51:$F$95,2,0)</f>
        <v>INE646L01027</v>
      </c>
      <c r="H332" s="8">
        <v>46054</v>
      </c>
      <c r="I332" s="7" t="s">
        <v>195</v>
      </c>
      <c r="J332" s="9">
        <v>58</v>
      </c>
      <c r="K332" s="9">
        <v>4589.6962999999996</v>
      </c>
      <c r="L332" s="9">
        <v>266399.38</v>
      </c>
    </row>
    <row r="333" spans="1:12" x14ac:dyDescent="0.35">
      <c r="A333" s="6" t="s">
        <v>116</v>
      </c>
      <c r="B333" s="6" t="s">
        <v>211</v>
      </c>
      <c r="C333" s="6" t="s">
        <v>210</v>
      </c>
      <c r="D333" s="7" t="s">
        <v>232</v>
      </c>
      <c r="E333" s="7" t="s">
        <v>45</v>
      </c>
      <c r="F333" s="6" t="s">
        <v>185</v>
      </c>
      <c r="G333" s="7" t="str">
        <f>+VLOOKUP(E333,Detail!$E$51:$F$95,2,0)</f>
        <v>INE018A01030</v>
      </c>
      <c r="H333" s="8">
        <v>46054</v>
      </c>
      <c r="I333" s="7" t="s">
        <v>195</v>
      </c>
      <c r="J333" s="9">
        <v>91</v>
      </c>
      <c r="K333" s="9">
        <v>3836.7829999999999</v>
      </c>
      <c r="L333" s="9">
        <v>349405.62</v>
      </c>
    </row>
    <row r="334" spans="1:12" x14ac:dyDescent="0.35">
      <c r="A334" s="6" t="s">
        <v>116</v>
      </c>
      <c r="B334" s="6" t="s">
        <v>211</v>
      </c>
      <c r="C334" s="6" t="s">
        <v>210</v>
      </c>
      <c r="D334" s="7" t="s">
        <v>232</v>
      </c>
      <c r="E334" s="7" t="s">
        <v>19</v>
      </c>
      <c r="F334" s="6" t="s">
        <v>185</v>
      </c>
      <c r="G334" s="7" t="str">
        <f>+VLOOKUP(E334,Detail!$E$51:$F$95,2,0)</f>
        <v>INE180A01020</v>
      </c>
      <c r="H334" s="8">
        <v>46054</v>
      </c>
      <c r="I334" s="7" t="s">
        <v>195</v>
      </c>
      <c r="J334" s="9">
        <v>189</v>
      </c>
      <c r="K334" s="9">
        <v>1624.471</v>
      </c>
      <c r="L334" s="9">
        <v>307252.21999999997</v>
      </c>
    </row>
    <row r="335" spans="1:12" x14ac:dyDescent="0.35">
      <c r="A335" s="6" t="s">
        <v>116</v>
      </c>
      <c r="B335" s="6" t="s">
        <v>211</v>
      </c>
      <c r="C335" s="6" t="s">
        <v>210</v>
      </c>
      <c r="D335" s="7" t="s">
        <v>232</v>
      </c>
      <c r="E335" s="7" t="s">
        <v>21</v>
      </c>
      <c r="F335" s="6" t="s">
        <v>185</v>
      </c>
      <c r="G335" s="7" t="str">
        <f>+VLOOKUP(E335,Detail!$E$51:$F$95,2,0)</f>
        <v>INE982J01020</v>
      </c>
      <c r="H335" s="8">
        <v>46054</v>
      </c>
      <c r="I335" s="7" t="s">
        <v>195</v>
      </c>
      <c r="J335" s="9">
        <v>316</v>
      </c>
      <c r="K335" s="9">
        <v>1173.7326</v>
      </c>
      <c r="L335" s="9">
        <v>371173.98</v>
      </c>
    </row>
    <row r="336" spans="1:12" x14ac:dyDescent="0.35">
      <c r="A336" s="6" t="s">
        <v>116</v>
      </c>
      <c r="B336" s="6" t="s">
        <v>211</v>
      </c>
      <c r="C336" s="6" t="s">
        <v>210</v>
      </c>
      <c r="D336" s="7" t="s">
        <v>232</v>
      </c>
      <c r="E336" s="7" t="s">
        <v>145</v>
      </c>
      <c r="F336" s="6" t="s">
        <v>185</v>
      </c>
      <c r="G336" s="7" t="str">
        <f>+VLOOKUP(E336,Detail!$E$51:$F$95,2,0)</f>
        <v>INE399G01023</v>
      </c>
      <c r="H336" s="8">
        <v>46054</v>
      </c>
      <c r="I336" s="7" t="s">
        <v>195</v>
      </c>
      <c r="J336" s="9">
        <v>528</v>
      </c>
      <c r="K336" s="9">
        <v>512.24339999999995</v>
      </c>
      <c r="L336" s="9">
        <v>270664.68</v>
      </c>
    </row>
    <row r="337" spans="1:12" x14ac:dyDescent="0.35">
      <c r="A337" s="6" t="s">
        <v>116</v>
      </c>
      <c r="B337" s="6" t="s">
        <v>211</v>
      </c>
      <c r="C337" s="6" t="s">
        <v>210</v>
      </c>
      <c r="D337" s="7" t="s">
        <v>232</v>
      </c>
      <c r="E337" s="7" t="s">
        <v>75</v>
      </c>
      <c r="F337" s="6" t="s">
        <v>185</v>
      </c>
      <c r="G337" s="7" t="str">
        <f>+VLOOKUP(E337,Detail!$E$51:$F$95,2,0)</f>
        <v>INE721A01047</v>
      </c>
      <c r="H337" s="8">
        <v>46054</v>
      </c>
      <c r="I337" s="7" t="s">
        <v>195</v>
      </c>
      <c r="J337" s="9">
        <v>300</v>
      </c>
      <c r="K337" s="9">
        <v>997.68550000000005</v>
      </c>
      <c r="L337" s="9">
        <v>299527.14</v>
      </c>
    </row>
    <row r="338" spans="1:12" x14ac:dyDescent="0.35">
      <c r="A338" s="6" t="s">
        <v>116</v>
      </c>
      <c r="B338" s="6" t="s">
        <v>211</v>
      </c>
      <c r="C338" s="6" t="s">
        <v>210</v>
      </c>
      <c r="D338" s="7" t="s">
        <v>232</v>
      </c>
      <c r="E338" s="7" t="s">
        <v>77</v>
      </c>
      <c r="F338" s="6" t="s">
        <v>185</v>
      </c>
      <c r="G338" s="7" t="str">
        <f>+VLOOKUP(E338,Detail!$E$51:$F$95,2,0)</f>
        <v>INE062A01020</v>
      </c>
      <c r="H338" s="8">
        <v>46054</v>
      </c>
      <c r="I338" s="7" t="s">
        <v>195</v>
      </c>
      <c r="J338" s="9">
        <v>263</v>
      </c>
      <c r="K338" s="9">
        <v>1021.3618</v>
      </c>
      <c r="L338" s="9">
        <v>268816.93</v>
      </c>
    </row>
    <row r="339" spans="1:12" x14ac:dyDescent="0.35">
      <c r="A339" s="6" t="s">
        <v>116</v>
      </c>
      <c r="B339" s="6" t="s">
        <v>211</v>
      </c>
      <c r="C339" s="6" t="s">
        <v>210</v>
      </c>
      <c r="D339" s="7" t="s">
        <v>232</v>
      </c>
      <c r="E339" s="7" t="s">
        <v>147</v>
      </c>
      <c r="F339" s="6" t="s">
        <v>185</v>
      </c>
      <c r="G339" s="7" t="str">
        <f>+VLOOKUP(E339,Detail!$E$51:$F$95,2,0)</f>
        <v>INE195A01028</v>
      </c>
      <c r="H339" s="8">
        <v>46054</v>
      </c>
      <c r="I339" s="7" t="s">
        <v>195</v>
      </c>
      <c r="J339" s="9">
        <v>76</v>
      </c>
      <c r="K339" s="9">
        <v>3496.7831999999999</v>
      </c>
      <c r="L339" s="9">
        <v>265952.18</v>
      </c>
    </row>
    <row r="340" spans="1:12" x14ac:dyDescent="0.35">
      <c r="A340" s="6" t="s">
        <v>116</v>
      </c>
      <c r="B340" s="6" t="s">
        <v>211</v>
      </c>
      <c r="C340" s="6" t="s">
        <v>210</v>
      </c>
      <c r="D340" s="7" t="s">
        <v>232</v>
      </c>
      <c r="E340" s="7" t="s">
        <v>101</v>
      </c>
      <c r="F340" s="6" t="s">
        <v>185</v>
      </c>
      <c r="G340" s="7" t="str">
        <f>+VLOOKUP(E340,Detail!$E$51:$F$95,2,0)</f>
        <v>INE849A01020</v>
      </c>
      <c r="H340" s="8">
        <v>46054</v>
      </c>
      <c r="I340" s="7" t="s">
        <v>195</v>
      </c>
      <c r="J340" s="9">
        <v>80</v>
      </c>
      <c r="K340" s="9">
        <v>3734.6916999999999</v>
      </c>
      <c r="L340" s="9">
        <v>298996.44</v>
      </c>
    </row>
    <row r="341" spans="1:12" x14ac:dyDescent="0.35">
      <c r="A341" s="6" t="s">
        <v>116</v>
      </c>
      <c r="B341" s="6" t="s">
        <v>211</v>
      </c>
      <c r="C341" s="6" t="s">
        <v>210</v>
      </c>
      <c r="D341" s="7" t="s">
        <v>232</v>
      </c>
      <c r="E341" s="7" t="s">
        <v>149</v>
      </c>
      <c r="F341" s="6" t="s">
        <v>185</v>
      </c>
      <c r="G341" s="7" t="str">
        <f>+VLOOKUP(E341,Detail!$E$51:$F$95,2,0)</f>
        <v>INE481G01011</v>
      </c>
      <c r="H341" s="8">
        <v>46054</v>
      </c>
      <c r="I341" s="7" t="s">
        <v>195</v>
      </c>
      <c r="J341" s="9">
        <v>24</v>
      </c>
      <c r="K341" s="9">
        <v>12375.585999999999</v>
      </c>
      <c r="L341" s="9">
        <v>297233.84999999998</v>
      </c>
    </row>
    <row r="342" spans="1:12" x14ac:dyDescent="0.35">
      <c r="A342" s="6" t="s">
        <v>116</v>
      </c>
      <c r="B342" s="6" t="s">
        <v>211</v>
      </c>
      <c r="C342" s="6" t="s">
        <v>111</v>
      </c>
      <c r="D342" s="7" t="s">
        <v>111</v>
      </c>
      <c r="E342" s="7" t="s">
        <v>69</v>
      </c>
      <c r="F342" s="6" t="s">
        <v>188</v>
      </c>
      <c r="G342" s="7" t="s">
        <v>70</v>
      </c>
      <c r="H342" s="8">
        <v>44272</v>
      </c>
      <c r="I342" s="7" t="s">
        <v>195</v>
      </c>
      <c r="J342" s="9">
        <v>174</v>
      </c>
      <c r="K342" s="9">
        <v>2706.47</v>
      </c>
      <c r="L342" s="9">
        <v>470926.09</v>
      </c>
    </row>
    <row r="343" spans="1:12" x14ac:dyDescent="0.35">
      <c r="A343" s="6" t="s">
        <v>116</v>
      </c>
      <c r="B343" s="6" t="s">
        <v>211</v>
      </c>
      <c r="C343" s="6" t="s">
        <v>111</v>
      </c>
      <c r="D343" s="7" t="s">
        <v>111</v>
      </c>
      <c r="E343" s="7" t="s">
        <v>69</v>
      </c>
      <c r="F343" s="6" t="s">
        <v>188</v>
      </c>
      <c r="G343" s="7" t="s">
        <v>70</v>
      </c>
      <c r="H343" s="8">
        <v>44315</v>
      </c>
      <c r="I343" s="7" t="s">
        <v>195</v>
      </c>
      <c r="J343" s="9">
        <v>176</v>
      </c>
      <c r="K343" s="9">
        <v>2745.63</v>
      </c>
      <c r="L343" s="9">
        <v>483231</v>
      </c>
    </row>
    <row r="344" spans="1:12" x14ac:dyDescent="0.35">
      <c r="A344" s="6" t="s">
        <v>116</v>
      </c>
      <c r="B344" s="6" t="s">
        <v>211</v>
      </c>
      <c r="C344" s="6" t="s">
        <v>111</v>
      </c>
      <c r="D344" s="7" t="s">
        <v>111</v>
      </c>
      <c r="E344" s="7" t="s">
        <v>69</v>
      </c>
      <c r="F344" s="6" t="s">
        <v>188</v>
      </c>
      <c r="G344" s="7" t="s">
        <v>70</v>
      </c>
      <c r="H344" s="8">
        <v>44363</v>
      </c>
      <c r="I344" s="7" t="s">
        <v>195</v>
      </c>
      <c r="J344" s="9">
        <v>156</v>
      </c>
      <c r="K344" s="9">
        <v>3059.7</v>
      </c>
      <c r="L344" s="9">
        <v>477313.2</v>
      </c>
    </row>
    <row r="345" spans="1:12" x14ac:dyDescent="0.35">
      <c r="A345" s="6" t="s">
        <v>116</v>
      </c>
      <c r="B345" s="6" t="s">
        <v>211</v>
      </c>
      <c r="C345" s="6" t="s">
        <v>111</v>
      </c>
      <c r="D345" s="7" t="s">
        <v>111</v>
      </c>
      <c r="E345" s="7" t="s">
        <v>69</v>
      </c>
      <c r="F345" s="6" t="s">
        <v>188</v>
      </c>
      <c r="G345" s="7" t="s">
        <v>70</v>
      </c>
      <c r="H345" s="8">
        <v>44372</v>
      </c>
      <c r="I345" s="7" t="s">
        <v>195</v>
      </c>
      <c r="J345" s="9">
        <v>26</v>
      </c>
      <c r="K345" s="9">
        <v>3035.21</v>
      </c>
      <c r="L345" s="9">
        <v>78915.33</v>
      </c>
    </row>
    <row r="346" spans="1:12" x14ac:dyDescent="0.35">
      <c r="A346" s="6" t="s">
        <v>116</v>
      </c>
      <c r="B346" s="6" t="s">
        <v>211</v>
      </c>
      <c r="C346" s="6" t="s">
        <v>111</v>
      </c>
      <c r="D346" s="7" t="s">
        <v>111</v>
      </c>
      <c r="E346" s="7" t="s">
        <v>69</v>
      </c>
      <c r="F346" s="6" t="s">
        <v>188</v>
      </c>
      <c r="G346" s="7" t="s">
        <v>70</v>
      </c>
      <c r="H346" s="8">
        <v>44385</v>
      </c>
      <c r="I346" s="7" t="s">
        <v>195</v>
      </c>
      <c r="J346" s="9">
        <v>172</v>
      </c>
      <c r="K346" s="9">
        <v>3077.97</v>
      </c>
      <c r="L346" s="9">
        <v>529411.29</v>
      </c>
    </row>
    <row r="347" spans="1:12" x14ac:dyDescent="0.35">
      <c r="A347" s="6" t="s">
        <v>116</v>
      </c>
      <c r="B347" s="6" t="s">
        <v>211</v>
      </c>
      <c r="C347" s="6" t="s">
        <v>111</v>
      </c>
      <c r="D347" s="7" t="s">
        <v>111</v>
      </c>
      <c r="E347" s="7" t="s">
        <v>69</v>
      </c>
      <c r="F347" s="6" t="s">
        <v>188</v>
      </c>
      <c r="G347" s="7" t="s">
        <v>70</v>
      </c>
      <c r="H347" s="8">
        <v>44428</v>
      </c>
      <c r="I347" s="7" t="s">
        <v>195</v>
      </c>
      <c r="J347" s="9">
        <v>120</v>
      </c>
      <c r="K347" s="9">
        <v>3327.78</v>
      </c>
      <c r="L347" s="9">
        <v>399334.14</v>
      </c>
    </row>
    <row r="348" spans="1:12" x14ac:dyDescent="0.35">
      <c r="A348" s="6" t="s">
        <v>116</v>
      </c>
      <c r="B348" s="6" t="s">
        <v>211</v>
      </c>
      <c r="C348" s="6" t="s">
        <v>111</v>
      </c>
      <c r="D348" s="7" t="s">
        <v>111</v>
      </c>
      <c r="E348" s="7" t="s">
        <v>69</v>
      </c>
      <c r="F348" s="6" t="s">
        <v>188</v>
      </c>
      <c r="G348" s="7" t="s">
        <v>70</v>
      </c>
      <c r="H348" s="8">
        <v>44868</v>
      </c>
      <c r="I348" s="7" t="s">
        <v>195</v>
      </c>
      <c r="J348" s="9">
        <v>38</v>
      </c>
      <c r="K348" s="9">
        <v>3578.77</v>
      </c>
      <c r="L348" s="9">
        <v>135993.4</v>
      </c>
    </row>
    <row r="349" spans="1:12" x14ac:dyDescent="0.35">
      <c r="A349" s="6" t="s">
        <v>116</v>
      </c>
      <c r="B349" s="6" t="s">
        <v>211</v>
      </c>
      <c r="C349" s="6" t="s">
        <v>111</v>
      </c>
      <c r="D349" s="7" t="s">
        <v>111</v>
      </c>
      <c r="E349" s="7" t="s">
        <v>69</v>
      </c>
      <c r="F349" s="6" t="s">
        <v>188</v>
      </c>
      <c r="G349" s="7" t="s">
        <v>70</v>
      </c>
      <c r="H349" s="8">
        <v>44911</v>
      </c>
      <c r="I349" s="7" t="s">
        <v>195</v>
      </c>
      <c r="J349" s="9">
        <v>48</v>
      </c>
      <c r="K349" s="9">
        <v>3308.09</v>
      </c>
      <c r="L349" s="9">
        <v>158788.19</v>
      </c>
    </row>
    <row r="350" spans="1:12" x14ac:dyDescent="0.35">
      <c r="A350" s="6" t="s">
        <v>116</v>
      </c>
      <c r="B350" s="6" t="s">
        <v>211</v>
      </c>
      <c r="C350" s="6" t="s">
        <v>111</v>
      </c>
      <c r="D350" s="7" t="s">
        <v>111</v>
      </c>
      <c r="E350" s="7" t="s">
        <v>69</v>
      </c>
      <c r="F350" s="6" t="s">
        <v>188</v>
      </c>
      <c r="G350" s="7" t="s">
        <v>70</v>
      </c>
      <c r="H350" s="8">
        <v>45824</v>
      </c>
      <c r="I350" s="7" t="s">
        <v>195</v>
      </c>
      <c r="J350" s="9">
        <v>3640</v>
      </c>
      <c r="K350" s="9">
        <v>0</v>
      </c>
      <c r="L350" s="9">
        <v>0</v>
      </c>
    </row>
    <row r="351" spans="1:12" x14ac:dyDescent="0.35">
      <c r="A351" s="6" t="s">
        <v>116</v>
      </c>
      <c r="B351" s="6" t="s">
        <v>211</v>
      </c>
      <c r="C351" s="6" t="s">
        <v>111</v>
      </c>
      <c r="D351" s="7" t="s">
        <v>111</v>
      </c>
      <c r="E351" s="7" t="s">
        <v>170</v>
      </c>
      <c r="F351" s="6" t="s">
        <v>188</v>
      </c>
      <c r="G351" s="7" t="s">
        <v>171</v>
      </c>
      <c r="H351" s="8">
        <v>44272</v>
      </c>
      <c r="I351" s="7" t="s">
        <v>195</v>
      </c>
      <c r="J351" s="9">
        <v>84</v>
      </c>
      <c r="K351" s="9">
        <v>1492.3</v>
      </c>
      <c r="L351" s="9">
        <v>125353.02</v>
      </c>
    </row>
    <row r="352" spans="1:12" x14ac:dyDescent="0.35">
      <c r="A352" s="6" t="s">
        <v>116</v>
      </c>
      <c r="B352" s="6" t="s">
        <v>211</v>
      </c>
      <c r="C352" s="6" t="s">
        <v>111</v>
      </c>
      <c r="D352" s="7" t="s">
        <v>111</v>
      </c>
      <c r="E352" s="7" t="s">
        <v>170</v>
      </c>
      <c r="F352" s="6" t="s">
        <v>188</v>
      </c>
      <c r="G352" s="7" t="s">
        <v>171</v>
      </c>
      <c r="H352" s="8">
        <v>44315</v>
      </c>
      <c r="I352" s="7" t="s">
        <v>195</v>
      </c>
      <c r="J352" s="9">
        <v>130</v>
      </c>
      <c r="K352" s="9">
        <v>1508.99</v>
      </c>
      <c r="L352" s="9">
        <v>196169</v>
      </c>
    </row>
    <row r="353" spans="1:12" x14ac:dyDescent="0.35">
      <c r="A353" s="6" t="s">
        <v>116</v>
      </c>
      <c r="B353" s="6" t="s">
        <v>211</v>
      </c>
      <c r="C353" s="6" t="s">
        <v>111</v>
      </c>
      <c r="D353" s="7" t="s">
        <v>111</v>
      </c>
      <c r="E353" s="7" t="s">
        <v>170</v>
      </c>
      <c r="F353" s="6" t="s">
        <v>188</v>
      </c>
      <c r="G353" s="7" t="s">
        <v>171</v>
      </c>
      <c r="H353" s="8">
        <v>44354</v>
      </c>
      <c r="I353" s="7" t="s">
        <v>195</v>
      </c>
      <c r="J353" s="9">
        <v>37</v>
      </c>
      <c r="K353" s="9">
        <v>1697.54</v>
      </c>
      <c r="L353" s="9">
        <v>62809</v>
      </c>
    </row>
    <row r="354" spans="1:12" x14ac:dyDescent="0.35">
      <c r="A354" s="6" t="s">
        <v>116</v>
      </c>
      <c r="B354" s="6" t="s">
        <v>211</v>
      </c>
      <c r="C354" s="6" t="s">
        <v>111</v>
      </c>
      <c r="D354" s="7" t="s">
        <v>111</v>
      </c>
      <c r="E354" s="7" t="s">
        <v>170</v>
      </c>
      <c r="F354" s="6" t="s">
        <v>188</v>
      </c>
      <c r="G354" s="7" t="s">
        <v>171</v>
      </c>
      <c r="H354" s="8">
        <v>44355</v>
      </c>
      <c r="I354" s="7" t="s">
        <v>195</v>
      </c>
      <c r="J354" s="9">
        <v>63</v>
      </c>
      <c r="K354" s="9">
        <v>1701.25</v>
      </c>
      <c r="L354" s="9">
        <v>107179</v>
      </c>
    </row>
    <row r="355" spans="1:12" x14ac:dyDescent="0.35">
      <c r="A355" s="6" t="s">
        <v>116</v>
      </c>
      <c r="B355" s="6" t="s">
        <v>211</v>
      </c>
      <c r="C355" s="6" t="s">
        <v>111</v>
      </c>
      <c r="D355" s="7" t="s">
        <v>111</v>
      </c>
      <c r="E355" s="7" t="s">
        <v>170</v>
      </c>
      <c r="F355" s="6" t="s">
        <v>188</v>
      </c>
      <c r="G355" s="7" t="s">
        <v>171</v>
      </c>
      <c r="H355" s="8">
        <v>44356</v>
      </c>
      <c r="I355" s="7" t="s">
        <v>195</v>
      </c>
      <c r="J355" s="9">
        <v>25</v>
      </c>
      <c r="K355" s="9">
        <v>1722.16</v>
      </c>
      <c r="L355" s="9">
        <v>43054</v>
      </c>
    </row>
    <row r="356" spans="1:12" x14ac:dyDescent="0.35">
      <c r="A356" s="6" t="s">
        <v>116</v>
      </c>
      <c r="B356" s="6" t="s">
        <v>211</v>
      </c>
      <c r="C356" s="6" t="s">
        <v>111</v>
      </c>
      <c r="D356" s="7" t="s">
        <v>111</v>
      </c>
      <c r="E356" s="7" t="s">
        <v>170</v>
      </c>
      <c r="F356" s="6" t="s">
        <v>188</v>
      </c>
      <c r="G356" s="7" t="s">
        <v>171</v>
      </c>
      <c r="H356" s="8">
        <v>44363</v>
      </c>
      <c r="I356" s="7" t="s">
        <v>195</v>
      </c>
      <c r="J356" s="9">
        <v>187</v>
      </c>
      <c r="K356" s="9">
        <v>1723.31</v>
      </c>
      <c r="L356" s="9">
        <v>322258.96999999997</v>
      </c>
    </row>
    <row r="357" spans="1:12" x14ac:dyDescent="0.35">
      <c r="A357" s="6" t="s">
        <v>116</v>
      </c>
      <c r="B357" s="6" t="s">
        <v>211</v>
      </c>
      <c r="C357" s="6" t="s">
        <v>111</v>
      </c>
      <c r="D357" s="7" t="s">
        <v>111</v>
      </c>
      <c r="E357" s="7" t="s">
        <v>170</v>
      </c>
      <c r="F357" s="6" t="s">
        <v>188</v>
      </c>
      <c r="G357" s="7" t="s">
        <v>171</v>
      </c>
      <c r="H357" s="8">
        <v>44385</v>
      </c>
      <c r="I357" s="7" t="s">
        <v>195</v>
      </c>
      <c r="J357" s="9">
        <v>62</v>
      </c>
      <c r="K357" s="9">
        <v>1736.01</v>
      </c>
      <c r="L357" s="9">
        <v>107632.8</v>
      </c>
    </row>
    <row r="358" spans="1:12" x14ac:dyDescent="0.35">
      <c r="A358" s="6" t="s">
        <v>116</v>
      </c>
      <c r="B358" s="6" t="s">
        <v>211</v>
      </c>
      <c r="C358" s="6" t="s">
        <v>111</v>
      </c>
      <c r="D358" s="7" t="s">
        <v>111</v>
      </c>
      <c r="E358" s="7" t="s">
        <v>170</v>
      </c>
      <c r="F358" s="6" t="s">
        <v>188</v>
      </c>
      <c r="G358" s="7" t="s">
        <v>171</v>
      </c>
      <c r="H358" s="8">
        <v>44389</v>
      </c>
      <c r="I358" s="7" t="s">
        <v>195</v>
      </c>
      <c r="J358" s="9">
        <v>124</v>
      </c>
      <c r="K358" s="9">
        <v>1726.84</v>
      </c>
      <c r="L358" s="9">
        <v>214128.14</v>
      </c>
    </row>
    <row r="359" spans="1:12" x14ac:dyDescent="0.35">
      <c r="A359" s="6" t="s">
        <v>116</v>
      </c>
      <c r="B359" s="6" t="s">
        <v>211</v>
      </c>
      <c r="C359" s="6" t="s">
        <v>111</v>
      </c>
      <c r="D359" s="7" t="s">
        <v>111</v>
      </c>
      <c r="E359" s="7" t="s">
        <v>170</v>
      </c>
      <c r="F359" s="6" t="s">
        <v>188</v>
      </c>
      <c r="G359" s="7" t="s">
        <v>171</v>
      </c>
      <c r="H359" s="8">
        <v>44428</v>
      </c>
      <c r="I359" s="7" t="s">
        <v>195</v>
      </c>
      <c r="J359" s="9">
        <v>144</v>
      </c>
      <c r="K359" s="9">
        <v>1868.23</v>
      </c>
      <c r="L359" s="9">
        <v>269025.81</v>
      </c>
    </row>
    <row r="360" spans="1:12" x14ac:dyDescent="0.35">
      <c r="A360" s="6" t="s">
        <v>116</v>
      </c>
      <c r="B360" s="6" t="s">
        <v>211</v>
      </c>
      <c r="C360" s="6" t="s">
        <v>111</v>
      </c>
      <c r="D360" s="7" t="s">
        <v>111</v>
      </c>
      <c r="E360" s="7" t="s">
        <v>170</v>
      </c>
      <c r="F360" s="6" t="s">
        <v>188</v>
      </c>
      <c r="G360" s="7" t="s">
        <v>171</v>
      </c>
      <c r="H360" s="8">
        <v>44431</v>
      </c>
      <c r="I360" s="7" t="s">
        <v>195</v>
      </c>
      <c r="J360" s="9">
        <v>43</v>
      </c>
      <c r="K360" s="9">
        <v>1855.75</v>
      </c>
      <c r="L360" s="9">
        <v>79797.25</v>
      </c>
    </row>
    <row r="361" spans="1:12" x14ac:dyDescent="0.35">
      <c r="A361" s="6" t="s">
        <v>116</v>
      </c>
      <c r="B361" s="6" t="s">
        <v>211</v>
      </c>
      <c r="C361" s="6" t="s">
        <v>111</v>
      </c>
      <c r="D361" s="7" t="s">
        <v>111</v>
      </c>
      <c r="E361" s="7" t="s">
        <v>170</v>
      </c>
      <c r="F361" s="6" t="s">
        <v>188</v>
      </c>
      <c r="G361" s="7" t="s">
        <v>171</v>
      </c>
      <c r="H361" s="8">
        <v>44742</v>
      </c>
      <c r="I361" s="7" t="s">
        <v>195</v>
      </c>
      <c r="J361" s="9">
        <v>148</v>
      </c>
      <c r="K361" s="9">
        <v>1951.29</v>
      </c>
      <c r="L361" s="9">
        <v>288790.95</v>
      </c>
    </row>
    <row r="362" spans="1:12" x14ac:dyDescent="0.35">
      <c r="A362" s="6" t="s">
        <v>116</v>
      </c>
      <c r="B362" s="6" t="s">
        <v>211</v>
      </c>
      <c r="C362" s="6" t="s">
        <v>111</v>
      </c>
      <c r="D362" s="7" t="s">
        <v>111</v>
      </c>
      <c r="E362" s="7" t="s">
        <v>168</v>
      </c>
      <c r="F362" s="6" t="s">
        <v>188</v>
      </c>
      <c r="G362" s="7" t="s">
        <v>169</v>
      </c>
      <c r="H362" s="8">
        <v>44363</v>
      </c>
      <c r="I362" s="7" t="s">
        <v>195</v>
      </c>
      <c r="J362" s="9">
        <v>505</v>
      </c>
      <c r="K362" s="9">
        <v>353.39</v>
      </c>
      <c r="L362" s="9">
        <v>178460.94</v>
      </c>
    </row>
    <row r="363" spans="1:12" x14ac:dyDescent="0.35">
      <c r="A363" s="6" t="s">
        <v>116</v>
      </c>
      <c r="B363" s="6" t="s">
        <v>211</v>
      </c>
      <c r="C363" s="6" t="s">
        <v>111</v>
      </c>
      <c r="D363" s="7" t="s">
        <v>111</v>
      </c>
      <c r="E363" s="7" t="s">
        <v>168</v>
      </c>
      <c r="F363" s="6" t="s">
        <v>188</v>
      </c>
      <c r="G363" s="7" t="s">
        <v>169</v>
      </c>
      <c r="H363" s="8">
        <v>44372</v>
      </c>
      <c r="I363" s="7" t="s">
        <v>195</v>
      </c>
      <c r="J363" s="9">
        <v>185</v>
      </c>
      <c r="K363" s="9">
        <v>345.57</v>
      </c>
      <c r="L363" s="9">
        <v>63930.080000000002</v>
      </c>
    </row>
    <row r="364" spans="1:12" x14ac:dyDescent="0.35">
      <c r="A364" s="6" t="s">
        <v>116</v>
      </c>
      <c r="B364" s="6" t="s">
        <v>211</v>
      </c>
      <c r="C364" s="6" t="s">
        <v>111</v>
      </c>
      <c r="D364" s="7" t="s">
        <v>111</v>
      </c>
      <c r="E364" s="7" t="s">
        <v>168</v>
      </c>
      <c r="F364" s="6" t="s">
        <v>188</v>
      </c>
      <c r="G364" s="7" t="s">
        <v>169</v>
      </c>
      <c r="H364" s="8">
        <v>44385</v>
      </c>
      <c r="I364" s="7" t="s">
        <v>195</v>
      </c>
      <c r="J364" s="9">
        <v>610</v>
      </c>
      <c r="K364" s="9">
        <v>350.43</v>
      </c>
      <c r="L364" s="9">
        <v>213765.2</v>
      </c>
    </row>
    <row r="365" spans="1:12" x14ac:dyDescent="0.35">
      <c r="A365" s="6" t="s">
        <v>116</v>
      </c>
      <c r="B365" s="6" t="s">
        <v>211</v>
      </c>
      <c r="C365" s="6" t="s">
        <v>111</v>
      </c>
      <c r="D365" s="7" t="s">
        <v>111</v>
      </c>
      <c r="E365" s="7" t="s">
        <v>168</v>
      </c>
      <c r="F365" s="6" t="s">
        <v>188</v>
      </c>
      <c r="G365" s="7" t="s">
        <v>169</v>
      </c>
      <c r="H365" s="8">
        <v>44386</v>
      </c>
      <c r="I365" s="7" t="s">
        <v>195</v>
      </c>
      <c r="J365" s="9">
        <v>305</v>
      </c>
      <c r="K365" s="9">
        <v>345.51</v>
      </c>
      <c r="L365" s="9">
        <v>105379.68</v>
      </c>
    </row>
    <row r="366" spans="1:12" x14ac:dyDescent="0.35">
      <c r="A366" s="6" t="s">
        <v>116</v>
      </c>
      <c r="B366" s="6" t="s">
        <v>211</v>
      </c>
      <c r="C366" s="6" t="s">
        <v>111</v>
      </c>
      <c r="D366" s="7" t="s">
        <v>111</v>
      </c>
      <c r="E366" s="7" t="s">
        <v>168</v>
      </c>
      <c r="F366" s="6" t="s">
        <v>188</v>
      </c>
      <c r="G366" s="7" t="s">
        <v>169</v>
      </c>
      <c r="H366" s="8">
        <v>44428</v>
      </c>
      <c r="I366" s="7" t="s">
        <v>195</v>
      </c>
      <c r="J366" s="9">
        <v>1165</v>
      </c>
      <c r="K366" s="9">
        <v>341.53</v>
      </c>
      <c r="L366" s="9">
        <v>397878.63</v>
      </c>
    </row>
    <row r="367" spans="1:12" x14ac:dyDescent="0.35">
      <c r="A367" s="6" t="s">
        <v>116</v>
      </c>
      <c r="B367" s="6" t="s">
        <v>211</v>
      </c>
      <c r="C367" s="6" t="s">
        <v>111</v>
      </c>
      <c r="D367" s="7" t="s">
        <v>111</v>
      </c>
      <c r="E367" s="7" t="s">
        <v>168</v>
      </c>
      <c r="F367" s="6" t="s">
        <v>188</v>
      </c>
      <c r="G367" s="7" t="s">
        <v>169</v>
      </c>
      <c r="H367" s="8">
        <v>45174</v>
      </c>
      <c r="I367" s="7" t="s">
        <v>195</v>
      </c>
      <c r="J367" s="9">
        <v>140</v>
      </c>
      <c r="K367" s="9">
        <v>355.66</v>
      </c>
      <c r="L367" s="9">
        <v>49791.76</v>
      </c>
    </row>
    <row r="368" spans="1:12" x14ac:dyDescent="0.35">
      <c r="A368" s="6" t="s">
        <v>116</v>
      </c>
      <c r="B368" s="6" t="s">
        <v>211</v>
      </c>
      <c r="C368" s="6" t="s">
        <v>111</v>
      </c>
      <c r="D368" s="7" t="s">
        <v>111</v>
      </c>
      <c r="E368" s="7" t="s">
        <v>164</v>
      </c>
      <c r="F368" s="6" t="s">
        <v>188</v>
      </c>
      <c r="G368" s="7" t="s">
        <v>165</v>
      </c>
      <c r="H368" s="8">
        <v>44242</v>
      </c>
      <c r="I368" s="7" t="s">
        <v>195</v>
      </c>
      <c r="J368" s="9">
        <v>2620</v>
      </c>
      <c r="K368" s="9">
        <v>956.05</v>
      </c>
      <c r="L368" s="9">
        <v>2504849.0099999998</v>
      </c>
    </row>
    <row r="369" spans="1:12" x14ac:dyDescent="0.35">
      <c r="A369" s="6" t="s">
        <v>116</v>
      </c>
      <c r="B369" s="6" t="s">
        <v>211</v>
      </c>
      <c r="C369" s="6" t="s">
        <v>111</v>
      </c>
      <c r="D369" s="7" t="s">
        <v>111</v>
      </c>
      <c r="E369" s="7" t="s">
        <v>162</v>
      </c>
      <c r="F369" s="6" t="s">
        <v>188</v>
      </c>
      <c r="G369" s="7" t="s">
        <v>163</v>
      </c>
      <c r="H369" s="8">
        <v>44315</v>
      </c>
      <c r="I369" s="7" t="s">
        <v>195</v>
      </c>
      <c r="J369" s="9">
        <v>65</v>
      </c>
      <c r="K369" s="9">
        <v>3916.73</v>
      </c>
      <c r="L369" s="9">
        <v>254587.27</v>
      </c>
    </row>
    <row r="370" spans="1:12" x14ac:dyDescent="0.35">
      <c r="A370" s="6" t="s">
        <v>116</v>
      </c>
      <c r="B370" s="6" t="s">
        <v>211</v>
      </c>
      <c r="C370" s="6" t="s">
        <v>111</v>
      </c>
      <c r="D370" s="7" t="s">
        <v>111</v>
      </c>
      <c r="E370" s="7" t="s">
        <v>162</v>
      </c>
      <c r="F370" s="6" t="s">
        <v>188</v>
      </c>
      <c r="G370" s="7" t="s">
        <v>163</v>
      </c>
      <c r="H370" s="8">
        <v>44385</v>
      </c>
      <c r="I370" s="7" t="s">
        <v>195</v>
      </c>
      <c r="J370" s="9">
        <v>47</v>
      </c>
      <c r="K370" s="9">
        <v>4530.96</v>
      </c>
      <c r="L370" s="9">
        <v>212955.17</v>
      </c>
    </row>
    <row r="371" spans="1:12" x14ac:dyDescent="0.35">
      <c r="A371" s="6" t="s">
        <v>116</v>
      </c>
      <c r="B371" s="6" t="s">
        <v>211</v>
      </c>
      <c r="C371" s="6" t="s">
        <v>111</v>
      </c>
      <c r="D371" s="7" t="s">
        <v>111</v>
      </c>
      <c r="E371" s="7" t="s">
        <v>162</v>
      </c>
      <c r="F371" s="6" t="s">
        <v>188</v>
      </c>
      <c r="G371" s="7" t="s">
        <v>163</v>
      </c>
      <c r="H371" s="8">
        <v>44428</v>
      </c>
      <c r="I371" s="7" t="s">
        <v>195</v>
      </c>
      <c r="J371" s="9">
        <v>27</v>
      </c>
      <c r="K371" s="9">
        <v>4818.3500000000004</v>
      </c>
      <c r="L371" s="9">
        <v>130095.47</v>
      </c>
    </row>
    <row r="372" spans="1:12" x14ac:dyDescent="0.35">
      <c r="A372" s="6" t="s">
        <v>116</v>
      </c>
      <c r="B372" s="6" t="s">
        <v>211</v>
      </c>
      <c r="C372" s="6" t="s">
        <v>111</v>
      </c>
      <c r="D372" s="7" t="s">
        <v>111</v>
      </c>
      <c r="E372" s="7" t="s">
        <v>162</v>
      </c>
      <c r="F372" s="6" t="s">
        <v>188</v>
      </c>
      <c r="G372" s="7" t="s">
        <v>163</v>
      </c>
      <c r="H372" s="8">
        <v>44617</v>
      </c>
      <c r="I372" s="7" t="s">
        <v>195</v>
      </c>
      <c r="J372" s="9">
        <v>32</v>
      </c>
      <c r="K372" s="9">
        <v>4066.16</v>
      </c>
      <c r="L372" s="9">
        <v>130117</v>
      </c>
    </row>
    <row r="373" spans="1:12" x14ac:dyDescent="0.35">
      <c r="A373" s="6" t="s">
        <v>116</v>
      </c>
      <c r="B373" s="6" t="s">
        <v>211</v>
      </c>
      <c r="C373" s="6" t="s">
        <v>111</v>
      </c>
      <c r="D373" s="7" t="s">
        <v>111</v>
      </c>
      <c r="E373" s="7" t="s">
        <v>162</v>
      </c>
      <c r="F373" s="6" t="s">
        <v>188</v>
      </c>
      <c r="G373" s="7" t="s">
        <v>163</v>
      </c>
      <c r="H373" s="8">
        <v>44816</v>
      </c>
      <c r="I373" s="7" t="s">
        <v>195</v>
      </c>
      <c r="J373" s="9">
        <v>123</v>
      </c>
      <c r="K373" s="9">
        <v>3674.69</v>
      </c>
      <c r="L373" s="9">
        <v>451986.66</v>
      </c>
    </row>
    <row r="374" spans="1:12" x14ac:dyDescent="0.35">
      <c r="A374" s="6" t="s">
        <v>116</v>
      </c>
      <c r="B374" s="6" t="s">
        <v>211</v>
      </c>
      <c r="C374" s="6" t="s">
        <v>111</v>
      </c>
      <c r="D374" s="7" t="s">
        <v>111</v>
      </c>
      <c r="E374" s="7" t="s">
        <v>162</v>
      </c>
      <c r="F374" s="6" t="s">
        <v>188</v>
      </c>
      <c r="G374" s="7" t="s">
        <v>163</v>
      </c>
      <c r="H374" s="8">
        <v>44866</v>
      </c>
      <c r="I374" s="7" t="s">
        <v>195</v>
      </c>
      <c r="J374" s="9">
        <v>116</v>
      </c>
      <c r="K374" s="9">
        <v>3780.37</v>
      </c>
      <c r="L374" s="9">
        <v>438523.35</v>
      </c>
    </row>
    <row r="375" spans="1:12" x14ac:dyDescent="0.35">
      <c r="A375" s="6" t="s">
        <v>116</v>
      </c>
      <c r="B375" s="6" t="s">
        <v>211</v>
      </c>
      <c r="C375" s="6" t="s">
        <v>111</v>
      </c>
      <c r="D375" s="7" t="s">
        <v>111</v>
      </c>
      <c r="E375" s="7" t="s">
        <v>162</v>
      </c>
      <c r="F375" s="6" t="s">
        <v>188</v>
      </c>
      <c r="G375" s="7" t="s">
        <v>163</v>
      </c>
      <c r="H375" s="8">
        <v>44867</v>
      </c>
      <c r="I375" s="7" t="s">
        <v>195</v>
      </c>
      <c r="J375" s="9">
        <v>36</v>
      </c>
      <c r="K375" s="9">
        <v>3879.74</v>
      </c>
      <c r="L375" s="9">
        <v>139670.46</v>
      </c>
    </row>
    <row r="376" spans="1:12" x14ac:dyDescent="0.35">
      <c r="A376" s="6" t="s">
        <v>116</v>
      </c>
      <c r="B376" s="6" t="s">
        <v>211</v>
      </c>
      <c r="C376" s="6" t="s">
        <v>111</v>
      </c>
      <c r="D376" s="7" t="s">
        <v>111</v>
      </c>
      <c r="E376" s="7" t="s">
        <v>162</v>
      </c>
      <c r="F376" s="6" t="s">
        <v>188</v>
      </c>
      <c r="G376" s="7" t="s">
        <v>163</v>
      </c>
      <c r="H376" s="8">
        <v>44876</v>
      </c>
      <c r="I376" s="7" t="s">
        <v>195</v>
      </c>
      <c r="J376" s="9">
        <v>69</v>
      </c>
      <c r="K376" s="9">
        <v>3301.84</v>
      </c>
      <c r="L376" s="9">
        <v>227826.71</v>
      </c>
    </row>
    <row r="377" spans="1:12" x14ac:dyDescent="0.35">
      <c r="A377" s="6" t="s">
        <v>116</v>
      </c>
      <c r="B377" s="6" t="s">
        <v>211</v>
      </c>
      <c r="C377" s="6" t="s">
        <v>111</v>
      </c>
      <c r="D377" s="7" t="s">
        <v>111</v>
      </c>
      <c r="E377" s="7" t="s">
        <v>162</v>
      </c>
      <c r="F377" s="6" t="s">
        <v>188</v>
      </c>
      <c r="G377" s="7" t="s">
        <v>163</v>
      </c>
      <c r="H377" s="8">
        <v>44973</v>
      </c>
      <c r="I377" s="7" t="s">
        <v>195</v>
      </c>
      <c r="J377" s="9">
        <v>122</v>
      </c>
      <c r="K377" s="9">
        <v>2865.5</v>
      </c>
      <c r="L377" s="9">
        <v>349591.03999999998</v>
      </c>
    </row>
    <row r="378" spans="1:12" x14ac:dyDescent="0.35">
      <c r="A378" s="6" t="s">
        <v>116</v>
      </c>
      <c r="B378" s="6" t="s">
        <v>211</v>
      </c>
      <c r="C378" s="6" t="s">
        <v>111</v>
      </c>
      <c r="D378" s="7" t="s">
        <v>111</v>
      </c>
      <c r="E378" s="7" t="s">
        <v>166</v>
      </c>
      <c r="F378" s="6" t="s">
        <v>188</v>
      </c>
      <c r="G378" s="7" t="s">
        <v>167</v>
      </c>
      <c r="H378" s="8">
        <v>44272</v>
      </c>
      <c r="I378" s="7" t="s">
        <v>195</v>
      </c>
      <c r="J378" s="9">
        <v>368</v>
      </c>
      <c r="K378" s="9">
        <v>697.19</v>
      </c>
      <c r="L378" s="9">
        <v>256565.99</v>
      </c>
    </row>
    <row r="379" spans="1:12" x14ac:dyDescent="0.35">
      <c r="A379" s="6" t="s">
        <v>116</v>
      </c>
      <c r="B379" s="6" t="s">
        <v>211</v>
      </c>
      <c r="C379" s="6" t="s">
        <v>111</v>
      </c>
      <c r="D379" s="7" t="s">
        <v>111</v>
      </c>
      <c r="E379" s="7" t="s">
        <v>166</v>
      </c>
      <c r="F379" s="6" t="s">
        <v>188</v>
      </c>
      <c r="G379" s="7" t="s">
        <v>167</v>
      </c>
      <c r="H379" s="8">
        <v>44315</v>
      </c>
      <c r="I379" s="7" t="s">
        <v>195</v>
      </c>
      <c r="J379" s="9">
        <v>515</v>
      </c>
      <c r="K379" s="9">
        <v>676.1</v>
      </c>
      <c r="L379" s="9">
        <v>348190</v>
      </c>
    </row>
    <row r="380" spans="1:12" x14ac:dyDescent="0.35">
      <c r="A380" s="6" t="s">
        <v>116</v>
      </c>
      <c r="B380" s="6" t="s">
        <v>211</v>
      </c>
      <c r="C380" s="6" t="s">
        <v>111</v>
      </c>
      <c r="D380" s="7" t="s">
        <v>111</v>
      </c>
      <c r="E380" s="7" t="s">
        <v>166</v>
      </c>
      <c r="F380" s="6" t="s">
        <v>188</v>
      </c>
      <c r="G380" s="7" t="s">
        <v>167</v>
      </c>
      <c r="H380" s="8">
        <v>44363</v>
      </c>
      <c r="I380" s="7" t="s">
        <v>195</v>
      </c>
      <c r="J380" s="9">
        <v>465</v>
      </c>
      <c r="K380" s="9">
        <v>695.99</v>
      </c>
      <c r="L380" s="9">
        <v>323635.34999999998</v>
      </c>
    </row>
    <row r="381" spans="1:12" x14ac:dyDescent="0.35">
      <c r="A381" s="6" t="s">
        <v>116</v>
      </c>
      <c r="B381" s="6" t="s">
        <v>211</v>
      </c>
      <c r="C381" s="6" t="s">
        <v>111</v>
      </c>
      <c r="D381" s="7" t="s">
        <v>111</v>
      </c>
      <c r="E381" s="7" t="s">
        <v>166</v>
      </c>
      <c r="F381" s="6" t="s">
        <v>188</v>
      </c>
      <c r="G381" s="7" t="s">
        <v>167</v>
      </c>
      <c r="H381" s="8">
        <v>44386</v>
      </c>
      <c r="I381" s="7" t="s">
        <v>195</v>
      </c>
      <c r="J381" s="9">
        <v>157</v>
      </c>
      <c r="K381" s="9">
        <v>682.22</v>
      </c>
      <c r="L381" s="9">
        <v>107108.15</v>
      </c>
    </row>
    <row r="382" spans="1:12" x14ac:dyDescent="0.35">
      <c r="A382" s="6" t="s">
        <v>116</v>
      </c>
      <c r="B382" s="6" t="s">
        <v>211</v>
      </c>
      <c r="C382" s="6" t="s">
        <v>111</v>
      </c>
      <c r="D382" s="7" t="s">
        <v>111</v>
      </c>
      <c r="E382" s="7" t="s">
        <v>166</v>
      </c>
      <c r="F382" s="6" t="s">
        <v>188</v>
      </c>
      <c r="G382" s="7" t="s">
        <v>167</v>
      </c>
      <c r="H382" s="8">
        <v>44389</v>
      </c>
      <c r="I382" s="7" t="s">
        <v>195</v>
      </c>
      <c r="J382" s="9">
        <v>313</v>
      </c>
      <c r="K382" s="9">
        <v>684.18</v>
      </c>
      <c r="L382" s="9">
        <v>214148.03</v>
      </c>
    </row>
    <row r="383" spans="1:12" x14ac:dyDescent="0.35">
      <c r="A383" s="6" t="s">
        <v>116</v>
      </c>
      <c r="B383" s="6" t="s">
        <v>211</v>
      </c>
      <c r="C383" s="6" t="s">
        <v>111</v>
      </c>
      <c r="D383" s="7" t="s">
        <v>111</v>
      </c>
      <c r="E383" s="7" t="s">
        <v>166</v>
      </c>
      <c r="F383" s="6" t="s">
        <v>188</v>
      </c>
      <c r="G383" s="7" t="s">
        <v>167</v>
      </c>
      <c r="H383" s="8">
        <v>44428</v>
      </c>
      <c r="I383" s="7" t="s">
        <v>195</v>
      </c>
      <c r="J383" s="9">
        <v>608</v>
      </c>
      <c r="K383" s="9">
        <v>662.94</v>
      </c>
      <c r="L383" s="9">
        <v>403067.7</v>
      </c>
    </row>
    <row r="384" spans="1:12" x14ac:dyDescent="0.35">
      <c r="A384" s="6" t="s">
        <v>116</v>
      </c>
      <c r="B384" s="6" t="s">
        <v>211</v>
      </c>
      <c r="C384" s="6" t="s">
        <v>111</v>
      </c>
      <c r="D384" s="7" t="s">
        <v>111</v>
      </c>
      <c r="E384" s="7" t="s">
        <v>166</v>
      </c>
      <c r="F384" s="6" t="s">
        <v>188</v>
      </c>
      <c r="G384" s="7" t="s">
        <v>167</v>
      </c>
      <c r="H384" s="8">
        <v>44876</v>
      </c>
      <c r="I384" s="7" t="s">
        <v>195</v>
      </c>
      <c r="J384" s="9">
        <v>242</v>
      </c>
      <c r="K384" s="9">
        <v>548.16999999999996</v>
      </c>
      <c r="L384" s="9">
        <v>132657.59</v>
      </c>
    </row>
    <row r="385" spans="1:12" x14ac:dyDescent="0.35">
      <c r="A385" s="6" t="s">
        <v>116</v>
      </c>
      <c r="B385" s="6" t="s">
        <v>212</v>
      </c>
      <c r="C385" s="6" t="s">
        <v>216</v>
      </c>
      <c r="D385" s="7" t="s">
        <v>81</v>
      </c>
      <c r="E385" s="7"/>
      <c r="F385" s="6" t="s">
        <v>186</v>
      </c>
      <c r="G385" s="7" t="s">
        <v>82</v>
      </c>
      <c r="H385" s="8">
        <v>45016</v>
      </c>
      <c r="I385" s="7" t="s">
        <v>195</v>
      </c>
      <c r="J385" s="9">
        <v>319761.95799999998</v>
      </c>
      <c r="K385" s="9">
        <v>31.27</v>
      </c>
      <c r="L385" s="9">
        <v>10000000</v>
      </c>
    </row>
    <row r="386" spans="1:12" x14ac:dyDescent="0.35">
      <c r="A386" s="6" t="s">
        <v>116</v>
      </c>
      <c r="B386" s="6" t="s">
        <v>214</v>
      </c>
      <c r="C386" s="6" t="s">
        <v>223</v>
      </c>
      <c r="D386" s="7" t="s">
        <v>83</v>
      </c>
      <c r="E386" s="7"/>
      <c r="F386" s="6" t="s">
        <v>187</v>
      </c>
      <c r="G386" s="7" t="s">
        <v>84</v>
      </c>
      <c r="H386" s="8">
        <v>46168</v>
      </c>
      <c r="I386" s="7" t="s">
        <v>195</v>
      </c>
      <c r="J386" s="9">
        <v>103151.18399999999</v>
      </c>
      <c r="K386" s="9">
        <v>411.99599999999998</v>
      </c>
      <c r="L386" s="9">
        <v>42500000</v>
      </c>
    </row>
    <row r="387" spans="1:12" x14ac:dyDescent="0.35">
      <c r="A387" s="6" t="s">
        <v>116</v>
      </c>
      <c r="B387" s="6" t="s">
        <v>214</v>
      </c>
      <c r="C387" s="6" t="s">
        <v>223</v>
      </c>
      <c r="D387" s="7" t="s">
        <v>83</v>
      </c>
      <c r="E387" s="7"/>
      <c r="F387" s="6" t="s">
        <v>187</v>
      </c>
      <c r="G387" s="7" t="s">
        <v>84</v>
      </c>
      <c r="H387" s="8">
        <v>46162</v>
      </c>
      <c r="I387" s="7" t="s">
        <v>195</v>
      </c>
      <c r="J387" s="9">
        <v>7287.835</v>
      </c>
      <c r="K387" s="9">
        <v>411.62430000000001</v>
      </c>
      <c r="L387" s="9">
        <v>3000000</v>
      </c>
    </row>
    <row r="388" spans="1:12" x14ac:dyDescent="0.35">
      <c r="A388" s="6" t="s">
        <v>116</v>
      </c>
      <c r="B388" s="6" t="s">
        <v>214</v>
      </c>
      <c r="C388" s="6" t="s">
        <v>223</v>
      </c>
      <c r="D388" s="7" t="s">
        <v>83</v>
      </c>
      <c r="E388" s="7"/>
      <c r="F388" s="6" t="s">
        <v>187</v>
      </c>
      <c r="G388" s="7" t="s">
        <v>84</v>
      </c>
      <c r="H388" s="8">
        <v>46133</v>
      </c>
      <c r="I388" s="7" t="s">
        <v>195</v>
      </c>
      <c r="J388" s="9">
        <v>60980.622000000003</v>
      </c>
      <c r="K388" s="9">
        <v>409.94580000000002</v>
      </c>
      <c r="L388" s="9">
        <v>25000000</v>
      </c>
    </row>
    <row r="389" spans="1:12" x14ac:dyDescent="0.35">
      <c r="A389" s="6" t="s">
        <v>116</v>
      </c>
      <c r="B389" s="6" t="s">
        <v>214</v>
      </c>
      <c r="C389" s="6" t="s">
        <v>223</v>
      </c>
      <c r="D389" s="7" t="s">
        <v>83</v>
      </c>
      <c r="E389" s="7"/>
      <c r="F389" s="6" t="s">
        <v>187</v>
      </c>
      <c r="G389" s="7" t="s">
        <v>84</v>
      </c>
      <c r="H389" s="8">
        <v>46049</v>
      </c>
      <c r="I389" s="7" t="s">
        <v>194</v>
      </c>
      <c r="J389" s="9">
        <v>3763.7809999999999</v>
      </c>
      <c r="K389" s="9">
        <v>403.40359999999998</v>
      </c>
      <c r="L389" s="9">
        <v>1518322.8</v>
      </c>
    </row>
    <row r="390" spans="1:12" x14ac:dyDescent="0.35">
      <c r="A390" s="6" t="s">
        <v>116</v>
      </c>
      <c r="B390" s="6" t="s">
        <v>214</v>
      </c>
      <c r="C390" s="6" t="s">
        <v>223</v>
      </c>
      <c r="D390" s="7" t="s">
        <v>83</v>
      </c>
      <c r="E390" s="7"/>
      <c r="F390" s="6" t="s">
        <v>187</v>
      </c>
      <c r="G390" s="7" t="s">
        <v>84</v>
      </c>
      <c r="H390" s="8">
        <v>46049</v>
      </c>
      <c r="I390" s="7" t="s">
        <v>194</v>
      </c>
      <c r="J390" s="9">
        <v>3763.7809999999999</v>
      </c>
      <c r="K390" s="9">
        <v>403.40359999999998</v>
      </c>
      <c r="L390" s="9">
        <v>1518322.8</v>
      </c>
    </row>
    <row r="391" spans="1:12" x14ac:dyDescent="0.35">
      <c r="A391" s="6" t="s">
        <v>116</v>
      </c>
      <c r="B391" s="6" t="s">
        <v>214</v>
      </c>
      <c r="C391" s="6" t="s">
        <v>223</v>
      </c>
      <c r="D391" s="7" t="s">
        <v>83</v>
      </c>
      <c r="E391" s="7"/>
      <c r="F391" s="6" t="s">
        <v>187</v>
      </c>
      <c r="G391" s="7" t="s">
        <v>84</v>
      </c>
      <c r="H391" s="8">
        <v>45911</v>
      </c>
      <c r="I391" s="7" t="s">
        <v>194</v>
      </c>
      <c r="J391" s="9">
        <v>1773.586</v>
      </c>
      <c r="K391" s="9">
        <v>394.73719999999997</v>
      </c>
      <c r="L391" s="9">
        <v>700100.37</v>
      </c>
    </row>
    <row r="392" spans="1:12" x14ac:dyDescent="0.35">
      <c r="A392" s="6" t="s">
        <v>116</v>
      </c>
      <c r="B392" s="6" t="s">
        <v>214</v>
      </c>
      <c r="C392" s="6" t="s">
        <v>223</v>
      </c>
      <c r="D392" s="7" t="s">
        <v>83</v>
      </c>
      <c r="E392" s="7"/>
      <c r="F392" s="6" t="s">
        <v>187</v>
      </c>
      <c r="G392" s="7" t="s">
        <v>84</v>
      </c>
      <c r="H392" s="8">
        <v>45911</v>
      </c>
      <c r="I392" s="7" t="s">
        <v>194</v>
      </c>
      <c r="J392" s="9">
        <v>1773.586</v>
      </c>
      <c r="K392" s="9">
        <v>394.73719999999997</v>
      </c>
      <c r="L392" s="9">
        <v>700100.37</v>
      </c>
    </row>
    <row r="393" spans="1:12" x14ac:dyDescent="0.35">
      <c r="A393" s="6" t="s">
        <v>116</v>
      </c>
      <c r="B393" s="6" t="s">
        <v>214</v>
      </c>
      <c r="C393" s="6" t="s">
        <v>223</v>
      </c>
      <c r="D393" s="7" t="s">
        <v>83</v>
      </c>
      <c r="E393" s="7"/>
      <c r="F393" s="6" t="s">
        <v>187</v>
      </c>
      <c r="G393" s="7" t="s">
        <v>84</v>
      </c>
      <c r="H393" s="8">
        <v>45735</v>
      </c>
      <c r="I393" s="7" t="s">
        <v>195</v>
      </c>
      <c r="J393" s="9">
        <v>3266.989</v>
      </c>
      <c r="K393" s="9">
        <v>382.59620000000001</v>
      </c>
      <c r="L393" s="9">
        <v>1250000</v>
      </c>
    </row>
    <row r="394" spans="1:12" x14ac:dyDescent="0.35">
      <c r="A394" s="6" t="s">
        <v>116</v>
      </c>
      <c r="B394" s="6" t="s">
        <v>214</v>
      </c>
      <c r="C394" s="6" t="s">
        <v>223</v>
      </c>
      <c r="D394" s="7" t="s">
        <v>83</v>
      </c>
      <c r="E394" s="7"/>
      <c r="F394" s="6" t="s">
        <v>187</v>
      </c>
      <c r="G394" s="7" t="s">
        <v>84</v>
      </c>
      <c r="H394" s="8">
        <v>45735</v>
      </c>
      <c r="I394" s="7" t="s">
        <v>195</v>
      </c>
      <c r="J394" s="9">
        <v>3266.989</v>
      </c>
      <c r="K394" s="9">
        <v>382.59620000000001</v>
      </c>
      <c r="L394" s="9">
        <v>1250000</v>
      </c>
    </row>
    <row r="395" spans="1:12" x14ac:dyDescent="0.35">
      <c r="A395" s="6" t="s">
        <v>116</v>
      </c>
      <c r="B395" s="6" t="s">
        <v>214</v>
      </c>
      <c r="C395" s="6" t="s">
        <v>223</v>
      </c>
      <c r="D395" s="7" t="s">
        <v>83</v>
      </c>
      <c r="E395" s="7"/>
      <c r="F395" s="6" t="s">
        <v>187</v>
      </c>
      <c r="G395" s="7" t="s">
        <v>84</v>
      </c>
      <c r="H395" s="8">
        <v>45620</v>
      </c>
      <c r="I395" s="7" t="s">
        <v>195</v>
      </c>
      <c r="J395" s="9">
        <v>2270.3780000000002</v>
      </c>
      <c r="K395" s="9">
        <v>374.3682</v>
      </c>
      <c r="L395" s="9">
        <v>850000</v>
      </c>
    </row>
    <row r="396" spans="1:12" x14ac:dyDescent="0.35">
      <c r="A396" s="6" t="s">
        <v>116</v>
      </c>
      <c r="B396" s="6" t="s">
        <v>214</v>
      </c>
      <c r="C396" s="6" t="s">
        <v>223</v>
      </c>
      <c r="D396" s="7" t="s">
        <v>83</v>
      </c>
      <c r="E396" s="7"/>
      <c r="F396" s="6" t="s">
        <v>187</v>
      </c>
      <c r="G396" s="7" t="s">
        <v>84</v>
      </c>
      <c r="H396" s="8">
        <v>45620</v>
      </c>
      <c r="I396" s="7" t="s">
        <v>195</v>
      </c>
      <c r="J396" s="9">
        <v>2270.3780000000002</v>
      </c>
      <c r="K396" s="9">
        <v>374.3682</v>
      </c>
      <c r="L396" s="9">
        <v>850000</v>
      </c>
    </row>
    <row r="397" spans="1:12" x14ac:dyDescent="0.35">
      <c r="A397" s="6" t="s">
        <v>116</v>
      </c>
      <c r="B397" s="6" t="s">
        <v>214</v>
      </c>
      <c r="C397" s="6" t="s">
        <v>223</v>
      </c>
      <c r="D397" s="7" t="s">
        <v>83</v>
      </c>
      <c r="E397" s="7"/>
      <c r="F397" s="6" t="s">
        <v>187</v>
      </c>
      <c r="G397" s="7" t="s">
        <v>84</v>
      </c>
      <c r="H397" s="8">
        <v>45572</v>
      </c>
      <c r="I397" s="7" t="s">
        <v>194</v>
      </c>
      <c r="J397" s="9">
        <v>1782.3040000000001</v>
      </c>
      <c r="K397" s="9">
        <v>371.01760000000002</v>
      </c>
      <c r="L397" s="9">
        <v>661266.15</v>
      </c>
    </row>
    <row r="398" spans="1:12" x14ac:dyDescent="0.35">
      <c r="A398" s="6" t="s">
        <v>116</v>
      </c>
      <c r="B398" s="6" t="s">
        <v>214</v>
      </c>
      <c r="C398" s="6" t="s">
        <v>223</v>
      </c>
      <c r="D398" s="7" t="s">
        <v>83</v>
      </c>
      <c r="E398" s="7"/>
      <c r="F398" s="6" t="s">
        <v>187</v>
      </c>
      <c r="G398" s="7" t="s">
        <v>84</v>
      </c>
      <c r="H398" s="8">
        <v>45357</v>
      </c>
      <c r="I398" s="7" t="s">
        <v>194</v>
      </c>
      <c r="J398" s="9">
        <v>1687.7270000000001</v>
      </c>
      <c r="K398" s="9">
        <v>355.50779999999997</v>
      </c>
      <c r="L398" s="9">
        <v>600000</v>
      </c>
    </row>
    <row r="399" spans="1:12" x14ac:dyDescent="0.35">
      <c r="A399" s="6" t="s">
        <v>116</v>
      </c>
      <c r="B399" s="6" t="s">
        <v>214</v>
      </c>
      <c r="C399" s="6" t="s">
        <v>223</v>
      </c>
      <c r="D399" s="7" t="s">
        <v>83</v>
      </c>
      <c r="E399" s="7"/>
      <c r="F399" s="6" t="s">
        <v>187</v>
      </c>
      <c r="G399" s="7" t="s">
        <v>84</v>
      </c>
      <c r="H399" s="8">
        <v>45357</v>
      </c>
      <c r="I399" s="7" t="s">
        <v>194</v>
      </c>
      <c r="J399" s="9">
        <v>1125.1510000000001</v>
      </c>
      <c r="K399" s="9">
        <v>355.50779999999997</v>
      </c>
      <c r="L399" s="9">
        <v>400000</v>
      </c>
    </row>
    <row r="400" spans="1:12" x14ac:dyDescent="0.35">
      <c r="A400" s="6" t="s">
        <v>116</v>
      </c>
      <c r="B400" s="6" t="s">
        <v>214</v>
      </c>
      <c r="C400" s="6" t="s">
        <v>223</v>
      </c>
      <c r="D400" s="7" t="s">
        <v>83</v>
      </c>
      <c r="E400" s="7"/>
      <c r="F400" s="6" t="s">
        <v>187</v>
      </c>
      <c r="G400" s="7" t="s">
        <v>84</v>
      </c>
      <c r="H400" s="8">
        <v>45350</v>
      </c>
      <c r="I400" s="7" t="s">
        <v>194</v>
      </c>
      <c r="J400" s="9">
        <v>1690.1279999999999</v>
      </c>
      <c r="K400" s="9">
        <v>355.0027</v>
      </c>
      <c r="L400" s="9">
        <v>600000</v>
      </c>
    </row>
    <row r="401" spans="1:12" x14ac:dyDescent="0.35">
      <c r="A401" s="6" t="s">
        <v>116</v>
      </c>
      <c r="B401" s="6" t="s">
        <v>214</v>
      </c>
      <c r="C401" s="6" t="s">
        <v>223</v>
      </c>
      <c r="D401" s="7" t="s">
        <v>83</v>
      </c>
      <c r="E401" s="7"/>
      <c r="F401" s="6" t="s">
        <v>187</v>
      </c>
      <c r="G401" s="7" t="s">
        <v>84</v>
      </c>
      <c r="H401" s="8">
        <v>45350</v>
      </c>
      <c r="I401" s="7" t="s">
        <v>194</v>
      </c>
      <c r="J401" s="9">
        <v>1126.752</v>
      </c>
      <c r="K401" s="9">
        <v>355.0027</v>
      </c>
      <c r="L401" s="9">
        <v>400000</v>
      </c>
    </row>
    <row r="402" spans="1:12" x14ac:dyDescent="0.35">
      <c r="A402" s="6" t="s">
        <v>116</v>
      </c>
      <c r="B402" s="6" t="s">
        <v>214</v>
      </c>
      <c r="C402" s="6" t="s">
        <v>223</v>
      </c>
      <c r="D402" s="7" t="s">
        <v>83</v>
      </c>
      <c r="E402" s="7"/>
      <c r="F402" s="6" t="s">
        <v>187</v>
      </c>
      <c r="G402" s="7" t="s">
        <v>84</v>
      </c>
      <c r="H402" s="8">
        <v>45343</v>
      </c>
      <c r="I402" s="7" t="s">
        <v>194</v>
      </c>
      <c r="J402" s="9">
        <v>1692.604</v>
      </c>
      <c r="K402" s="9">
        <v>354.48329999999999</v>
      </c>
      <c r="L402" s="9">
        <v>600000</v>
      </c>
    </row>
    <row r="403" spans="1:12" x14ac:dyDescent="0.35">
      <c r="A403" s="6" t="s">
        <v>116</v>
      </c>
      <c r="B403" s="6" t="s">
        <v>214</v>
      </c>
      <c r="C403" s="6" t="s">
        <v>223</v>
      </c>
      <c r="D403" s="7" t="s">
        <v>83</v>
      </c>
      <c r="E403" s="7"/>
      <c r="F403" s="6" t="s">
        <v>187</v>
      </c>
      <c r="G403" s="7" t="s">
        <v>84</v>
      </c>
      <c r="H403" s="8">
        <v>45343</v>
      </c>
      <c r="I403" s="7" t="s">
        <v>194</v>
      </c>
      <c r="J403" s="9">
        <v>1128.403</v>
      </c>
      <c r="K403" s="9">
        <v>354.48329999999999</v>
      </c>
      <c r="L403" s="9">
        <v>400000</v>
      </c>
    </row>
    <row r="404" spans="1:12" x14ac:dyDescent="0.35">
      <c r="A404" s="6" t="s">
        <v>116</v>
      </c>
      <c r="B404" s="6" t="s">
        <v>214</v>
      </c>
      <c r="C404" s="6" t="s">
        <v>223</v>
      </c>
      <c r="D404" s="7" t="s">
        <v>83</v>
      </c>
      <c r="E404" s="7"/>
      <c r="F404" s="6" t="s">
        <v>187</v>
      </c>
      <c r="G404" s="7" t="s">
        <v>84</v>
      </c>
      <c r="H404" s="8">
        <v>45336</v>
      </c>
      <c r="I404" s="7" t="s">
        <v>194</v>
      </c>
      <c r="J404" s="9">
        <v>1695.0820000000001</v>
      </c>
      <c r="K404" s="9">
        <v>353.96519999999998</v>
      </c>
      <c r="L404" s="9">
        <v>600000</v>
      </c>
    </row>
    <row r="405" spans="1:12" x14ac:dyDescent="0.35">
      <c r="A405" s="6" t="s">
        <v>116</v>
      </c>
      <c r="B405" s="6" t="s">
        <v>214</v>
      </c>
      <c r="C405" s="6" t="s">
        <v>223</v>
      </c>
      <c r="D405" s="7" t="s">
        <v>83</v>
      </c>
      <c r="E405" s="7"/>
      <c r="F405" s="6" t="s">
        <v>187</v>
      </c>
      <c r="G405" s="7" t="s">
        <v>84</v>
      </c>
      <c r="H405" s="8">
        <v>45336</v>
      </c>
      <c r="I405" s="7" t="s">
        <v>194</v>
      </c>
      <c r="J405" s="9">
        <v>1130.0550000000001</v>
      </c>
      <c r="K405" s="9">
        <v>353.96519999999998</v>
      </c>
      <c r="L405" s="9">
        <v>400000</v>
      </c>
    </row>
    <row r="406" spans="1:12" x14ac:dyDescent="0.35">
      <c r="A406" s="6" t="s">
        <v>116</v>
      </c>
      <c r="B406" s="6" t="s">
        <v>214</v>
      </c>
      <c r="C406" s="6" t="s">
        <v>223</v>
      </c>
      <c r="D406" s="7" t="s">
        <v>83</v>
      </c>
      <c r="E406" s="7"/>
      <c r="F406" s="6" t="s">
        <v>187</v>
      </c>
      <c r="G406" s="7" t="s">
        <v>84</v>
      </c>
      <c r="H406" s="8">
        <v>45329</v>
      </c>
      <c r="I406" s="7" t="s">
        <v>194</v>
      </c>
      <c r="J406" s="9">
        <v>1697.3989999999999</v>
      </c>
      <c r="K406" s="9">
        <v>353.4821</v>
      </c>
      <c r="L406" s="9">
        <v>600000</v>
      </c>
    </row>
    <row r="407" spans="1:12" x14ac:dyDescent="0.35">
      <c r="A407" s="6" t="s">
        <v>116</v>
      </c>
      <c r="B407" s="6" t="s">
        <v>214</v>
      </c>
      <c r="C407" s="6" t="s">
        <v>223</v>
      </c>
      <c r="D407" s="7" t="s">
        <v>83</v>
      </c>
      <c r="E407" s="7"/>
      <c r="F407" s="6" t="s">
        <v>187</v>
      </c>
      <c r="G407" s="7" t="s">
        <v>84</v>
      </c>
      <c r="H407" s="8">
        <v>45329</v>
      </c>
      <c r="I407" s="7" t="s">
        <v>194</v>
      </c>
      <c r="J407" s="9">
        <v>1131.5989999999999</v>
      </c>
      <c r="K407" s="9">
        <v>353.4821</v>
      </c>
      <c r="L407" s="9">
        <v>400000</v>
      </c>
    </row>
    <row r="408" spans="1:12" x14ac:dyDescent="0.35">
      <c r="A408" s="6" t="s">
        <v>116</v>
      </c>
      <c r="B408" s="6" t="s">
        <v>214</v>
      </c>
      <c r="C408" s="6" t="s">
        <v>223</v>
      </c>
      <c r="D408" s="7" t="s">
        <v>83</v>
      </c>
      <c r="E408" s="7"/>
      <c r="F408" s="6" t="s">
        <v>187</v>
      </c>
      <c r="G408" s="7" t="s">
        <v>84</v>
      </c>
      <c r="H408" s="8">
        <v>45322</v>
      </c>
      <c r="I408" s="7" t="s">
        <v>194</v>
      </c>
      <c r="J408" s="9">
        <v>1699.769</v>
      </c>
      <c r="K408" s="9">
        <v>352.98919999999998</v>
      </c>
      <c r="L408" s="9">
        <v>600000</v>
      </c>
    </row>
    <row r="409" spans="1:12" x14ac:dyDescent="0.35">
      <c r="A409" s="6" t="s">
        <v>116</v>
      </c>
      <c r="B409" s="6" t="s">
        <v>214</v>
      </c>
      <c r="C409" s="6" t="s">
        <v>223</v>
      </c>
      <c r="D409" s="7" t="s">
        <v>83</v>
      </c>
      <c r="E409" s="7"/>
      <c r="F409" s="6" t="s">
        <v>187</v>
      </c>
      <c r="G409" s="7" t="s">
        <v>84</v>
      </c>
      <c r="H409" s="8">
        <v>45322</v>
      </c>
      <c r="I409" s="7" t="s">
        <v>194</v>
      </c>
      <c r="J409" s="9">
        <v>1133.1790000000001</v>
      </c>
      <c r="K409" s="9">
        <v>352.98919999999998</v>
      </c>
      <c r="L409" s="9">
        <v>400000</v>
      </c>
    </row>
    <row r="410" spans="1:12" x14ac:dyDescent="0.35">
      <c r="A410" s="6" t="s">
        <v>116</v>
      </c>
      <c r="B410" s="6" t="s">
        <v>214</v>
      </c>
      <c r="C410" s="6" t="s">
        <v>223</v>
      </c>
      <c r="D410" s="7" t="s">
        <v>83</v>
      </c>
      <c r="E410" s="7"/>
      <c r="F410" s="6" t="s">
        <v>187</v>
      </c>
      <c r="G410" s="7" t="s">
        <v>84</v>
      </c>
      <c r="H410" s="8">
        <v>45315</v>
      </c>
      <c r="I410" s="7" t="s">
        <v>194</v>
      </c>
      <c r="J410" s="9">
        <v>1702.077</v>
      </c>
      <c r="K410" s="9">
        <v>352.5104</v>
      </c>
      <c r="L410" s="9">
        <v>600000</v>
      </c>
    </row>
    <row r="411" spans="1:12" x14ac:dyDescent="0.35">
      <c r="A411" s="6" t="s">
        <v>116</v>
      </c>
      <c r="B411" s="6" t="s">
        <v>214</v>
      </c>
      <c r="C411" s="6" t="s">
        <v>223</v>
      </c>
      <c r="D411" s="7" t="s">
        <v>83</v>
      </c>
      <c r="E411" s="7"/>
      <c r="F411" s="6" t="s">
        <v>187</v>
      </c>
      <c r="G411" s="7" t="s">
        <v>84</v>
      </c>
      <c r="H411" s="8">
        <v>45315</v>
      </c>
      <c r="I411" s="7" t="s">
        <v>194</v>
      </c>
      <c r="J411" s="9">
        <v>1134.7180000000001</v>
      </c>
      <c r="K411" s="9">
        <v>352.5104</v>
      </c>
      <c r="L411" s="9">
        <v>400000</v>
      </c>
    </row>
    <row r="412" spans="1:12" x14ac:dyDescent="0.35">
      <c r="A412" s="6" t="s">
        <v>116</v>
      </c>
      <c r="B412" s="6" t="s">
        <v>214</v>
      </c>
      <c r="C412" s="6" t="s">
        <v>223</v>
      </c>
      <c r="D412" s="7" t="s">
        <v>83</v>
      </c>
      <c r="E412" s="7"/>
      <c r="F412" s="6" t="s">
        <v>187</v>
      </c>
      <c r="G412" s="7" t="s">
        <v>84</v>
      </c>
      <c r="H412" s="8">
        <v>45308</v>
      </c>
      <c r="I412" s="7" t="s">
        <v>194</v>
      </c>
      <c r="J412" s="9">
        <v>1704.2270000000001</v>
      </c>
      <c r="K412" s="9">
        <v>352.06569999999999</v>
      </c>
      <c r="L412" s="9">
        <v>600000</v>
      </c>
    </row>
    <row r="413" spans="1:12" x14ac:dyDescent="0.35">
      <c r="A413" s="6" t="s">
        <v>116</v>
      </c>
      <c r="B413" s="6" t="s">
        <v>214</v>
      </c>
      <c r="C413" s="6" t="s">
        <v>223</v>
      </c>
      <c r="D413" s="7" t="s">
        <v>83</v>
      </c>
      <c r="E413" s="7"/>
      <c r="F413" s="6" t="s">
        <v>187</v>
      </c>
      <c r="G413" s="7" t="s">
        <v>84</v>
      </c>
      <c r="H413" s="8">
        <v>45308</v>
      </c>
      <c r="I413" s="7" t="s">
        <v>194</v>
      </c>
      <c r="J413" s="9">
        <v>1136.152</v>
      </c>
      <c r="K413" s="9">
        <v>352.06569999999999</v>
      </c>
      <c r="L413" s="9">
        <v>400000</v>
      </c>
    </row>
    <row r="414" spans="1:12" x14ac:dyDescent="0.35">
      <c r="A414" s="6" t="s">
        <v>116</v>
      </c>
      <c r="B414" s="6" t="s">
        <v>214</v>
      </c>
      <c r="C414" s="6" t="s">
        <v>223</v>
      </c>
      <c r="D414" s="7" t="s">
        <v>83</v>
      </c>
      <c r="E414" s="7"/>
      <c r="F414" s="6" t="s">
        <v>187</v>
      </c>
      <c r="G414" s="7" t="s">
        <v>84</v>
      </c>
      <c r="H414" s="8">
        <v>45301</v>
      </c>
      <c r="I414" s="7" t="s">
        <v>194</v>
      </c>
      <c r="J414" s="9">
        <v>1706.4760000000001</v>
      </c>
      <c r="K414" s="9">
        <v>351.60180000000003</v>
      </c>
      <c r="L414" s="9">
        <v>600000</v>
      </c>
    </row>
    <row r="415" spans="1:12" x14ac:dyDescent="0.35">
      <c r="A415" s="6" t="s">
        <v>116</v>
      </c>
      <c r="B415" s="6" t="s">
        <v>214</v>
      </c>
      <c r="C415" s="6" t="s">
        <v>223</v>
      </c>
      <c r="D415" s="7" t="s">
        <v>83</v>
      </c>
      <c r="E415" s="7"/>
      <c r="F415" s="6" t="s">
        <v>187</v>
      </c>
      <c r="G415" s="7" t="s">
        <v>84</v>
      </c>
      <c r="H415" s="8">
        <v>45301</v>
      </c>
      <c r="I415" s="7" t="s">
        <v>194</v>
      </c>
      <c r="J415" s="9">
        <v>1137.6510000000001</v>
      </c>
      <c r="K415" s="9">
        <v>351.60180000000003</v>
      </c>
      <c r="L415" s="9">
        <v>400000</v>
      </c>
    </row>
    <row r="416" spans="1:12" x14ac:dyDescent="0.35">
      <c r="A416" s="6" t="s">
        <v>116</v>
      </c>
      <c r="B416" s="6" t="s">
        <v>214</v>
      </c>
      <c r="C416" s="6" t="s">
        <v>223</v>
      </c>
      <c r="D416" s="7" t="s">
        <v>83</v>
      </c>
      <c r="E416" s="7"/>
      <c r="F416" s="6" t="s">
        <v>187</v>
      </c>
      <c r="G416" s="7" t="s">
        <v>84</v>
      </c>
      <c r="H416" s="8">
        <v>45294</v>
      </c>
      <c r="I416" s="7" t="s">
        <v>194</v>
      </c>
      <c r="J416" s="9">
        <v>1708.9639999999999</v>
      </c>
      <c r="K416" s="9">
        <v>351.08980000000003</v>
      </c>
      <c r="L416" s="9">
        <v>600000</v>
      </c>
    </row>
    <row r="417" spans="1:12" x14ac:dyDescent="0.35">
      <c r="A417" s="6" t="s">
        <v>116</v>
      </c>
      <c r="B417" s="6" t="s">
        <v>214</v>
      </c>
      <c r="C417" s="6" t="s">
        <v>223</v>
      </c>
      <c r="D417" s="7" t="s">
        <v>83</v>
      </c>
      <c r="E417" s="7"/>
      <c r="F417" s="6" t="s">
        <v>187</v>
      </c>
      <c r="G417" s="7" t="s">
        <v>84</v>
      </c>
      <c r="H417" s="8">
        <v>45294</v>
      </c>
      <c r="I417" s="7" t="s">
        <v>194</v>
      </c>
      <c r="J417" s="9">
        <v>1139.31</v>
      </c>
      <c r="K417" s="9">
        <v>351.08980000000003</v>
      </c>
      <c r="L417" s="9">
        <v>400000</v>
      </c>
    </row>
    <row r="418" spans="1:12" x14ac:dyDescent="0.35">
      <c r="A418" s="6" t="s">
        <v>116</v>
      </c>
      <c r="B418" s="6" t="s">
        <v>214</v>
      </c>
      <c r="C418" s="6" t="s">
        <v>223</v>
      </c>
      <c r="D418" s="7" t="s">
        <v>83</v>
      </c>
      <c r="E418" s="7"/>
      <c r="F418" s="6" t="s">
        <v>187</v>
      </c>
      <c r="G418" s="7" t="s">
        <v>84</v>
      </c>
      <c r="H418" s="8">
        <v>45287</v>
      </c>
      <c r="I418" s="7" t="s">
        <v>194</v>
      </c>
      <c r="J418" s="9">
        <v>1712.0050000000001</v>
      </c>
      <c r="K418" s="9">
        <v>350.46629999999999</v>
      </c>
      <c r="L418" s="9">
        <v>600000</v>
      </c>
    </row>
    <row r="419" spans="1:12" x14ac:dyDescent="0.35">
      <c r="A419" s="6" t="s">
        <v>116</v>
      </c>
      <c r="B419" s="6" t="s">
        <v>214</v>
      </c>
      <c r="C419" s="6" t="s">
        <v>223</v>
      </c>
      <c r="D419" s="7" t="s">
        <v>83</v>
      </c>
      <c r="E419" s="7"/>
      <c r="F419" s="6" t="s">
        <v>187</v>
      </c>
      <c r="G419" s="7" t="s">
        <v>84</v>
      </c>
      <c r="H419" s="8">
        <v>45287</v>
      </c>
      <c r="I419" s="7" t="s">
        <v>194</v>
      </c>
      <c r="J419" s="9">
        <v>1141.337</v>
      </c>
      <c r="K419" s="9">
        <v>350.46629999999999</v>
      </c>
      <c r="L419" s="9">
        <v>400000</v>
      </c>
    </row>
    <row r="420" spans="1:12" x14ac:dyDescent="0.35">
      <c r="A420" s="6" t="s">
        <v>116</v>
      </c>
      <c r="B420" s="6" t="s">
        <v>214</v>
      </c>
      <c r="C420" s="6" t="s">
        <v>223</v>
      </c>
      <c r="D420" s="7" t="s">
        <v>83</v>
      </c>
      <c r="E420" s="7"/>
      <c r="F420" s="6" t="s">
        <v>187</v>
      </c>
      <c r="G420" s="7" t="s">
        <v>84</v>
      </c>
      <c r="H420" s="8">
        <v>45279</v>
      </c>
      <c r="I420" s="7" t="s">
        <v>194</v>
      </c>
      <c r="J420" s="9">
        <v>1714.6210000000001</v>
      </c>
      <c r="K420" s="9">
        <v>349.9316</v>
      </c>
      <c r="L420" s="9">
        <v>600000</v>
      </c>
    </row>
    <row r="421" spans="1:12" x14ac:dyDescent="0.35">
      <c r="A421" s="6" t="s">
        <v>116</v>
      </c>
      <c r="B421" s="6" t="s">
        <v>214</v>
      </c>
      <c r="C421" s="6" t="s">
        <v>223</v>
      </c>
      <c r="D421" s="7" t="s">
        <v>83</v>
      </c>
      <c r="E421" s="7"/>
      <c r="F421" s="6" t="s">
        <v>187</v>
      </c>
      <c r="G421" s="7" t="s">
        <v>84</v>
      </c>
      <c r="H421" s="8">
        <v>45279</v>
      </c>
      <c r="I421" s="7" t="s">
        <v>194</v>
      </c>
      <c r="J421" s="9">
        <v>1143.0809999999999</v>
      </c>
      <c r="K421" s="9">
        <v>349.9316</v>
      </c>
      <c r="L421" s="9">
        <v>400000</v>
      </c>
    </row>
    <row r="422" spans="1:12" x14ac:dyDescent="0.35">
      <c r="A422" s="6" t="s">
        <v>116</v>
      </c>
      <c r="B422" s="6" t="s">
        <v>214</v>
      </c>
      <c r="C422" s="6" t="s">
        <v>223</v>
      </c>
      <c r="D422" s="7" t="s">
        <v>83</v>
      </c>
      <c r="E422" s="7"/>
      <c r="F422" s="6" t="s">
        <v>187</v>
      </c>
      <c r="G422" s="7" t="s">
        <v>84</v>
      </c>
      <c r="H422" s="8">
        <v>45274</v>
      </c>
      <c r="I422" s="7" t="s">
        <v>195</v>
      </c>
      <c r="J422" s="9">
        <v>13729.573</v>
      </c>
      <c r="K422" s="9">
        <v>349.59280000000001</v>
      </c>
      <c r="L422" s="9">
        <v>4800000</v>
      </c>
    </row>
    <row r="423" spans="1:12" x14ac:dyDescent="0.35">
      <c r="A423" s="6" t="s">
        <v>116</v>
      </c>
      <c r="B423" s="6" t="s">
        <v>214</v>
      </c>
      <c r="C423" s="6" t="s">
        <v>223</v>
      </c>
      <c r="D423" s="7" t="s">
        <v>83</v>
      </c>
      <c r="E423" s="7"/>
      <c r="F423" s="6" t="s">
        <v>187</v>
      </c>
      <c r="G423" s="7" t="s">
        <v>84</v>
      </c>
      <c r="H423" s="8">
        <v>45237</v>
      </c>
      <c r="I423" s="7" t="s">
        <v>194</v>
      </c>
      <c r="J423" s="9">
        <v>1728.2619999999999</v>
      </c>
      <c r="K423" s="9">
        <v>347.1696</v>
      </c>
      <c r="L423" s="9">
        <v>600000</v>
      </c>
    </row>
    <row r="424" spans="1:12" x14ac:dyDescent="0.35">
      <c r="A424" s="6" t="s">
        <v>116</v>
      </c>
      <c r="B424" s="6" t="s">
        <v>214</v>
      </c>
      <c r="C424" s="6" t="s">
        <v>223</v>
      </c>
      <c r="D424" s="7" t="s">
        <v>83</v>
      </c>
      <c r="E424" s="7"/>
      <c r="F424" s="6" t="s">
        <v>187</v>
      </c>
      <c r="G424" s="7" t="s">
        <v>84</v>
      </c>
      <c r="H424" s="8">
        <v>45237</v>
      </c>
      <c r="I424" s="7" t="s">
        <v>194</v>
      </c>
      <c r="J424" s="9">
        <v>1152.175</v>
      </c>
      <c r="K424" s="9">
        <v>347.1696</v>
      </c>
      <c r="L424" s="9">
        <v>400000</v>
      </c>
    </row>
    <row r="425" spans="1:12" x14ac:dyDescent="0.35">
      <c r="A425" s="6" t="s">
        <v>116</v>
      </c>
      <c r="B425" s="6" t="s">
        <v>214</v>
      </c>
      <c r="C425" s="6" t="s">
        <v>223</v>
      </c>
      <c r="D425" s="7" t="s">
        <v>83</v>
      </c>
      <c r="E425" s="7"/>
      <c r="F425" s="6" t="s">
        <v>187</v>
      </c>
      <c r="G425" s="7" t="s">
        <v>84</v>
      </c>
      <c r="H425" s="8">
        <v>45231</v>
      </c>
      <c r="I425" s="7" t="s">
        <v>195</v>
      </c>
      <c r="J425" s="9">
        <v>21627.223999999998</v>
      </c>
      <c r="K425" s="9">
        <v>346.76780000000002</v>
      </c>
      <c r="L425" s="9">
        <v>7500000</v>
      </c>
    </row>
    <row r="426" spans="1:12" x14ac:dyDescent="0.35">
      <c r="A426" s="6" t="s">
        <v>116</v>
      </c>
      <c r="B426" s="6" t="s">
        <v>214</v>
      </c>
      <c r="C426" s="6" t="s">
        <v>223</v>
      </c>
      <c r="D426" s="7" t="s">
        <v>83</v>
      </c>
      <c r="E426" s="7"/>
      <c r="F426" s="6" t="s">
        <v>187</v>
      </c>
      <c r="G426" s="7" t="s">
        <v>84</v>
      </c>
      <c r="H426" s="8">
        <v>45230</v>
      </c>
      <c r="I426" s="7" t="s">
        <v>194</v>
      </c>
      <c r="J426" s="9">
        <v>1730.616</v>
      </c>
      <c r="K426" s="9">
        <v>346.69729999999998</v>
      </c>
      <c r="L426" s="9">
        <v>600000</v>
      </c>
    </row>
    <row r="427" spans="1:12" x14ac:dyDescent="0.35">
      <c r="A427" s="6" t="s">
        <v>116</v>
      </c>
      <c r="B427" s="6" t="s">
        <v>214</v>
      </c>
      <c r="C427" s="6" t="s">
        <v>223</v>
      </c>
      <c r="D427" s="7" t="s">
        <v>83</v>
      </c>
      <c r="E427" s="7"/>
      <c r="F427" s="6" t="s">
        <v>187</v>
      </c>
      <c r="G427" s="7" t="s">
        <v>84</v>
      </c>
      <c r="H427" s="8">
        <v>45230</v>
      </c>
      <c r="I427" s="7" t="s">
        <v>194</v>
      </c>
      <c r="J427" s="9">
        <v>1153.7439999999999</v>
      </c>
      <c r="K427" s="9">
        <v>346.69729999999998</v>
      </c>
      <c r="L427" s="9">
        <v>400000</v>
      </c>
    </row>
    <row r="428" spans="1:12" x14ac:dyDescent="0.35">
      <c r="A428" s="6" t="s">
        <v>116</v>
      </c>
      <c r="B428" s="6" t="s">
        <v>214</v>
      </c>
      <c r="C428" s="6" t="s">
        <v>223</v>
      </c>
      <c r="D428" s="7" t="s">
        <v>83</v>
      </c>
      <c r="E428" s="7"/>
      <c r="F428" s="6" t="s">
        <v>187</v>
      </c>
      <c r="G428" s="7" t="s">
        <v>84</v>
      </c>
      <c r="H428" s="8">
        <v>45224</v>
      </c>
      <c r="I428" s="7" t="s">
        <v>194</v>
      </c>
      <c r="J428" s="9">
        <v>1732.579</v>
      </c>
      <c r="K428" s="9">
        <v>346.30459999999999</v>
      </c>
      <c r="L428" s="9">
        <v>600000</v>
      </c>
    </row>
    <row r="429" spans="1:12" x14ac:dyDescent="0.35">
      <c r="A429" s="6" t="s">
        <v>116</v>
      </c>
      <c r="B429" s="6" t="s">
        <v>214</v>
      </c>
      <c r="C429" s="6" t="s">
        <v>223</v>
      </c>
      <c r="D429" s="7" t="s">
        <v>83</v>
      </c>
      <c r="E429" s="7"/>
      <c r="F429" s="6" t="s">
        <v>187</v>
      </c>
      <c r="G429" s="7" t="s">
        <v>84</v>
      </c>
      <c r="H429" s="8">
        <v>45224</v>
      </c>
      <c r="I429" s="7" t="s">
        <v>194</v>
      </c>
      <c r="J429" s="9">
        <v>1155.0530000000001</v>
      </c>
      <c r="K429" s="9">
        <v>346.30459999999999</v>
      </c>
      <c r="L429" s="9">
        <v>400000</v>
      </c>
    </row>
    <row r="430" spans="1:12" x14ac:dyDescent="0.35">
      <c r="A430" s="6" t="s">
        <v>116</v>
      </c>
      <c r="B430" s="6" t="s">
        <v>214</v>
      </c>
      <c r="C430" s="6" t="s">
        <v>223</v>
      </c>
      <c r="D430" s="7" t="s">
        <v>83</v>
      </c>
      <c r="E430" s="7"/>
      <c r="F430" s="6" t="s">
        <v>187</v>
      </c>
      <c r="G430" s="7" t="s">
        <v>84</v>
      </c>
      <c r="H430" s="8">
        <v>45216</v>
      </c>
      <c r="I430" s="7" t="s">
        <v>194</v>
      </c>
      <c r="J430" s="9">
        <v>1735.0039999999999</v>
      </c>
      <c r="K430" s="9">
        <v>345.82049999999998</v>
      </c>
      <c r="L430" s="9">
        <v>600000</v>
      </c>
    </row>
    <row r="431" spans="1:12" x14ac:dyDescent="0.35">
      <c r="A431" s="6" t="s">
        <v>116</v>
      </c>
      <c r="B431" s="6" t="s">
        <v>214</v>
      </c>
      <c r="C431" s="6" t="s">
        <v>223</v>
      </c>
      <c r="D431" s="7" t="s">
        <v>83</v>
      </c>
      <c r="E431" s="7"/>
      <c r="F431" s="6" t="s">
        <v>187</v>
      </c>
      <c r="G431" s="7" t="s">
        <v>84</v>
      </c>
      <c r="H431" s="8">
        <v>45216</v>
      </c>
      <c r="I431" s="7" t="s">
        <v>194</v>
      </c>
      <c r="J431" s="9">
        <v>1156.6690000000001</v>
      </c>
      <c r="K431" s="9">
        <v>345.82049999999998</v>
      </c>
      <c r="L431" s="9">
        <v>400000</v>
      </c>
    </row>
    <row r="432" spans="1:12" x14ac:dyDescent="0.35">
      <c r="A432" s="6" t="s">
        <v>116</v>
      </c>
      <c r="B432" s="6" t="s">
        <v>214</v>
      </c>
      <c r="C432" s="6" t="s">
        <v>223</v>
      </c>
      <c r="D432" s="7" t="s">
        <v>83</v>
      </c>
      <c r="E432" s="7"/>
      <c r="F432" s="6" t="s">
        <v>187</v>
      </c>
      <c r="G432" s="7" t="s">
        <v>84</v>
      </c>
      <c r="H432" s="8">
        <v>45209</v>
      </c>
      <c r="I432" s="7" t="s">
        <v>194</v>
      </c>
      <c r="J432" s="9">
        <v>1737.2639999999999</v>
      </c>
      <c r="K432" s="9">
        <v>345.3707</v>
      </c>
      <c r="L432" s="9">
        <v>600000</v>
      </c>
    </row>
    <row r="433" spans="1:12" x14ac:dyDescent="0.35">
      <c r="A433" s="6" t="s">
        <v>116</v>
      </c>
      <c r="B433" s="6" t="s">
        <v>214</v>
      </c>
      <c r="C433" s="6" t="s">
        <v>223</v>
      </c>
      <c r="D433" s="7" t="s">
        <v>83</v>
      </c>
      <c r="E433" s="7"/>
      <c r="F433" s="6" t="s">
        <v>187</v>
      </c>
      <c r="G433" s="7" t="s">
        <v>84</v>
      </c>
      <c r="H433" s="8">
        <v>45209</v>
      </c>
      <c r="I433" s="7" t="s">
        <v>194</v>
      </c>
      <c r="J433" s="9">
        <v>1158.1759999999999</v>
      </c>
      <c r="K433" s="9">
        <v>345.3707</v>
      </c>
      <c r="L433" s="9">
        <v>400000</v>
      </c>
    </row>
    <row r="434" spans="1:12" x14ac:dyDescent="0.35">
      <c r="A434" s="6" t="s">
        <v>116</v>
      </c>
      <c r="B434" s="6" t="s">
        <v>214</v>
      </c>
      <c r="C434" s="6" t="s">
        <v>223</v>
      </c>
      <c r="D434" s="7" t="s">
        <v>83</v>
      </c>
      <c r="E434" s="7"/>
      <c r="F434" s="6" t="s">
        <v>187</v>
      </c>
      <c r="G434" s="7" t="s">
        <v>84</v>
      </c>
      <c r="H434" s="8">
        <v>45202</v>
      </c>
      <c r="I434" s="7" t="s">
        <v>194</v>
      </c>
      <c r="J434" s="9">
        <v>1739.4079999999999</v>
      </c>
      <c r="K434" s="9">
        <v>344.94499999999999</v>
      </c>
      <c r="L434" s="9">
        <v>600000</v>
      </c>
    </row>
    <row r="435" spans="1:12" x14ac:dyDescent="0.35">
      <c r="A435" s="6" t="s">
        <v>116</v>
      </c>
      <c r="B435" s="6" t="s">
        <v>214</v>
      </c>
      <c r="C435" s="6" t="s">
        <v>223</v>
      </c>
      <c r="D435" s="7" t="s">
        <v>83</v>
      </c>
      <c r="E435" s="7"/>
      <c r="F435" s="6" t="s">
        <v>187</v>
      </c>
      <c r="G435" s="7" t="s">
        <v>84</v>
      </c>
      <c r="H435" s="8">
        <v>45202</v>
      </c>
      <c r="I435" s="7" t="s">
        <v>194</v>
      </c>
      <c r="J435" s="9">
        <v>1159.605</v>
      </c>
      <c r="K435" s="9">
        <v>344.94499999999999</v>
      </c>
      <c r="L435" s="9">
        <v>400000</v>
      </c>
    </row>
    <row r="436" spans="1:12" x14ac:dyDescent="0.35">
      <c r="A436" s="6" t="s">
        <v>116</v>
      </c>
      <c r="B436" s="6" t="s">
        <v>214</v>
      </c>
      <c r="C436" s="6" t="s">
        <v>223</v>
      </c>
      <c r="D436" s="7" t="s">
        <v>83</v>
      </c>
      <c r="E436" s="7"/>
      <c r="F436" s="6" t="s">
        <v>187</v>
      </c>
      <c r="G436" s="7" t="s">
        <v>84</v>
      </c>
      <c r="H436" s="8">
        <v>45195</v>
      </c>
      <c r="I436" s="7" t="s">
        <v>194</v>
      </c>
      <c r="J436" s="9">
        <v>1741.951</v>
      </c>
      <c r="K436" s="9">
        <v>344.44130000000001</v>
      </c>
      <c r="L436" s="9">
        <v>600000</v>
      </c>
    </row>
    <row r="437" spans="1:12" x14ac:dyDescent="0.35">
      <c r="A437" s="6" t="s">
        <v>116</v>
      </c>
      <c r="B437" s="6" t="s">
        <v>214</v>
      </c>
      <c r="C437" s="6" t="s">
        <v>223</v>
      </c>
      <c r="D437" s="7" t="s">
        <v>83</v>
      </c>
      <c r="E437" s="7"/>
      <c r="F437" s="6" t="s">
        <v>187</v>
      </c>
      <c r="G437" s="7" t="s">
        <v>84</v>
      </c>
      <c r="H437" s="8">
        <v>45195</v>
      </c>
      <c r="I437" s="7" t="s">
        <v>194</v>
      </c>
      <c r="J437" s="9">
        <v>1161.3009999999999</v>
      </c>
      <c r="K437" s="9">
        <v>344.44130000000001</v>
      </c>
      <c r="L437" s="9">
        <v>400000</v>
      </c>
    </row>
    <row r="438" spans="1:12" x14ac:dyDescent="0.35">
      <c r="A438" s="6" t="s">
        <v>116</v>
      </c>
      <c r="B438" s="6" t="s">
        <v>214</v>
      </c>
      <c r="C438" s="6" t="s">
        <v>223</v>
      </c>
      <c r="D438" s="7" t="s">
        <v>83</v>
      </c>
      <c r="E438" s="7"/>
      <c r="F438" s="6" t="s">
        <v>187</v>
      </c>
      <c r="G438" s="7" t="s">
        <v>84</v>
      </c>
      <c r="H438" s="8">
        <v>45189</v>
      </c>
      <c r="I438" s="7" t="s">
        <v>194</v>
      </c>
      <c r="J438" s="9">
        <v>1743.7719999999999</v>
      </c>
      <c r="K438" s="9">
        <v>344.08159999999998</v>
      </c>
      <c r="L438" s="9">
        <v>600000</v>
      </c>
    </row>
    <row r="439" spans="1:12" x14ac:dyDescent="0.35">
      <c r="A439" s="6" t="s">
        <v>116</v>
      </c>
      <c r="B439" s="6" t="s">
        <v>214</v>
      </c>
      <c r="C439" s="6" t="s">
        <v>223</v>
      </c>
      <c r="D439" s="7" t="s">
        <v>83</v>
      </c>
      <c r="E439" s="7"/>
      <c r="F439" s="6" t="s">
        <v>187</v>
      </c>
      <c r="G439" s="7" t="s">
        <v>84</v>
      </c>
      <c r="H439" s="8">
        <v>45189</v>
      </c>
      <c r="I439" s="7" t="s">
        <v>194</v>
      </c>
      <c r="J439" s="9">
        <v>1162.5150000000001</v>
      </c>
      <c r="K439" s="9">
        <v>344.08159999999998</v>
      </c>
      <c r="L439" s="9">
        <v>400000</v>
      </c>
    </row>
    <row r="440" spans="1:12" x14ac:dyDescent="0.35">
      <c r="A440" s="6" t="s">
        <v>116</v>
      </c>
      <c r="B440" s="6" t="s">
        <v>214</v>
      </c>
      <c r="C440" s="6" t="s">
        <v>223</v>
      </c>
      <c r="D440" s="7" t="s">
        <v>83</v>
      </c>
      <c r="E440" s="7"/>
      <c r="F440" s="6" t="s">
        <v>187</v>
      </c>
      <c r="G440" s="7" t="s">
        <v>84</v>
      </c>
      <c r="H440" s="8">
        <v>45181</v>
      </c>
      <c r="I440" s="7" t="s">
        <v>194</v>
      </c>
      <c r="J440" s="9">
        <v>1746.395</v>
      </c>
      <c r="K440" s="9">
        <v>343.56479999999999</v>
      </c>
      <c r="L440" s="9">
        <v>600000</v>
      </c>
    </row>
    <row r="441" spans="1:12" x14ac:dyDescent="0.35">
      <c r="A441" s="6" t="s">
        <v>116</v>
      </c>
      <c r="B441" s="6" t="s">
        <v>214</v>
      </c>
      <c r="C441" s="6" t="s">
        <v>223</v>
      </c>
      <c r="D441" s="7" t="s">
        <v>83</v>
      </c>
      <c r="E441" s="7"/>
      <c r="F441" s="6" t="s">
        <v>187</v>
      </c>
      <c r="G441" s="7" t="s">
        <v>84</v>
      </c>
      <c r="H441" s="8">
        <v>45181</v>
      </c>
      <c r="I441" s="7" t="s">
        <v>194</v>
      </c>
      <c r="J441" s="9">
        <v>1164.2639999999999</v>
      </c>
      <c r="K441" s="9">
        <v>343.56479999999999</v>
      </c>
      <c r="L441" s="9">
        <v>400000</v>
      </c>
    </row>
    <row r="442" spans="1:12" x14ac:dyDescent="0.35">
      <c r="A442" s="6" t="s">
        <v>116</v>
      </c>
      <c r="B442" s="6" t="s">
        <v>214</v>
      </c>
      <c r="C442" s="6" t="s">
        <v>223</v>
      </c>
      <c r="D442" s="7" t="s">
        <v>83</v>
      </c>
      <c r="E442" s="7"/>
      <c r="F442" s="6" t="s">
        <v>187</v>
      </c>
      <c r="G442" s="7" t="s">
        <v>84</v>
      </c>
      <c r="H442" s="8">
        <v>45174</v>
      </c>
      <c r="I442" s="7" t="s">
        <v>194</v>
      </c>
      <c r="J442" s="9">
        <v>1748.5519999999999</v>
      </c>
      <c r="K442" s="9">
        <v>343.14100000000002</v>
      </c>
      <c r="L442" s="9">
        <v>600000</v>
      </c>
    </row>
    <row r="443" spans="1:12" x14ac:dyDescent="0.35">
      <c r="A443" s="6" t="s">
        <v>116</v>
      </c>
      <c r="B443" s="6" t="s">
        <v>214</v>
      </c>
      <c r="C443" s="6" t="s">
        <v>223</v>
      </c>
      <c r="D443" s="7" t="s">
        <v>83</v>
      </c>
      <c r="E443" s="7"/>
      <c r="F443" s="6" t="s">
        <v>187</v>
      </c>
      <c r="G443" s="7" t="s">
        <v>84</v>
      </c>
      <c r="H443" s="8">
        <v>45174</v>
      </c>
      <c r="I443" s="7" t="s">
        <v>194</v>
      </c>
      <c r="J443" s="9">
        <v>1165.702</v>
      </c>
      <c r="K443" s="9">
        <v>343.14100000000002</v>
      </c>
      <c r="L443" s="9">
        <v>400000</v>
      </c>
    </row>
    <row r="444" spans="1:12" x14ac:dyDescent="0.35">
      <c r="A444" s="6" t="s">
        <v>116</v>
      </c>
      <c r="B444" s="6" t="s">
        <v>214</v>
      </c>
      <c r="C444" s="6" t="s">
        <v>223</v>
      </c>
      <c r="D444" s="7" t="s">
        <v>83</v>
      </c>
      <c r="E444" s="7"/>
      <c r="F444" s="6" t="s">
        <v>187</v>
      </c>
      <c r="G444" s="7" t="s">
        <v>84</v>
      </c>
      <c r="H444" s="8">
        <v>45167</v>
      </c>
      <c r="I444" s="7" t="s">
        <v>194</v>
      </c>
      <c r="J444" s="9">
        <v>1750.883</v>
      </c>
      <c r="K444" s="9">
        <v>342.68419999999998</v>
      </c>
      <c r="L444" s="9">
        <v>600000</v>
      </c>
    </row>
    <row r="445" spans="1:12" x14ac:dyDescent="0.35">
      <c r="A445" s="6" t="s">
        <v>116</v>
      </c>
      <c r="B445" s="6" t="s">
        <v>214</v>
      </c>
      <c r="C445" s="6" t="s">
        <v>223</v>
      </c>
      <c r="D445" s="7" t="s">
        <v>83</v>
      </c>
      <c r="E445" s="7"/>
      <c r="F445" s="6" t="s">
        <v>187</v>
      </c>
      <c r="G445" s="7" t="s">
        <v>84</v>
      </c>
      <c r="H445" s="8">
        <v>45167</v>
      </c>
      <c r="I445" s="7" t="s">
        <v>194</v>
      </c>
      <c r="J445" s="9">
        <v>1167.2550000000001</v>
      </c>
      <c r="K445" s="9">
        <v>342.68419999999998</v>
      </c>
      <c r="L445" s="9">
        <v>400000</v>
      </c>
    </row>
    <row r="446" spans="1:12" x14ac:dyDescent="0.35">
      <c r="A446" s="6" t="s">
        <v>116</v>
      </c>
      <c r="B446" s="6" t="s">
        <v>214</v>
      </c>
      <c r="C446" s="6" t="s">
        <v>223</v>
      </c>
      <c r="D446" s="7" t="s">
        <v>83</v>
      </c>
      <c r="E446" s="7"/>
      <c r="F446" s="6" t="s">
        <v>187</v>
      </c>
      <c r="G446" s="7" t="s">
        <v>84</v>
      </c>
      <c r="H446" s="8">
        <v>45159</v>
      </c>
      <c r="I446" s="7" t="s">
        <v>194</v>
      </c>
      <c r="J446" s="9">
        <v>1753.529</v>
      </c>
      <c r="K446" s="9">
        <v>342.16719999999998</v>
      </c>
      <c r="L446" s="9">
        <v>600000</v>
      </c>
    </row>
    <row r="447" spans="1:12" x14ac:dyDescent="0.35">
      <c r="A447" s="6" t="s">
        <v>116</v>
      </c>
      <c r="B447" s="6" t="s">
        <v>214</v>
      </c>
      <c r="C447" s="6" t="s">
        <v>223</v>
      </c>
      <c r="D447" s="7" t="s">
        <v>83</v>
      </c>
      <c r="E447" s="7"/>
      <c r="F447" s="6" t="s">
        <v>187</v>
      </c>
      <c r="G447" s="7" t="s">
        <v>84</v>
      </c>
      <c r="H447" s="8">
        <v>45159</v>
      </c>
      <c r="I447" s="7" t="s">
        <v>194</v>
      </c>
      <c r="J447" s="9">
        <v>1169.019</v>
      </c>
      <c r="K447" s="9">
        <v>342.16719999999998</v>
      </c>
      <c r="L447" s="9">
        <v>400000</v>
      </c>
    </row>
    <row r="448" spans="1:12" x14ac:dyDescent="0.35">
      <c r="A448" s="6" t="s">
        <v>116</v>
      </c>
      <c r="B448" s="6" t="s">
        <v>214</v>
      </c>
      <c r="C448" s="6" t="s">
        <v>223</v>
      </c>
      <c r="D448" s="7" t="s">
        <v>83</v>
      </c>
      <c r="E448" s="7"/>
      <c r="F448" s="6" t="s">
        <v>187</v>
      </c>
      <c r="G448" s="7" t="s">
        <v>84</v>
      </c>
      <c r="H448" s="8">
        <v>45151</v>
      </c>
      <c r="I448" s="7" t="s">
        <v>195</v>
      </c>
      <c r="J448" s="9">
        <v>35118.485999999997</v>
      </c>
      <c r="K448" s="9">
        <v>341.68329999999997</v>
      </c>
      <c r="L448" s="9">
        <v>12000000</v>
      </c>
    </row>
    <row r="449" spans="1:12" x14ac:dyDescent="0.35">
      <c r="A449" s="6" t="s">
        <v>116</v>
      </c>
      <c r="B449" s="6" t="s">
        <v>214</v>
      </c>
      <c r="C449" s="6" t="s">
        <v>223</v>
      </c>
      <c r="D449" s="7" t="s">
        <v>83</v>
      </c>
      <c r="E449" s="7"/>
      <c r="F449" s="6" t="s">
        <v>187</v>
      </c>
      <c r="G449" s="7" t="s">
        <v>84</v>
      </c>
      <c r="H449" s="8">
        <v>45130</v>
      </c>
      <c r="I449" s="7" t="s">
        <v>194</v>
      </c>
      <c r="J449" s="9">
        <v>1659.7719999999999</v>
      </c>
      <c r="K449" s="9">
        <v>340.40809999999999</v>
      </c>
      <c r="L449" s="9">
        <v>565000</v>
      </c>
    </row>
    <row r="450" spans="1:12" x14ac:dyDescent="0.35">
      <c r="A450" s="6" t="s">
        <v>116</v>
      </c>
      <c r="B450" s="6" t="s">
        <v>214</v>
      </c>
      <c r="C450" s="6" t="s">
        <v>223</v>
      </c>
      <c r="D450" s="7" t="s">
        <v>83</v>
      </c>
      <c r="E450" s="7"/>
      <c r="F450" s="6" t="s">
        <v>187</v>
      </c>
      <c r="G450" s="7" t="s">
        <v>84</v>
      </c>
      <c r="H450" s="8">
        <v>45130</v>
      </c>
      <c r="I450" s="7" t="s">
        <v>194</v>
      </c>
      <c r="J450" s="9">
        <v>1175.06</v>
      </c>
      <c r="K450" s="9">
        <v>340.40809999999999</v>
      </c>
      <c r="L450" s="9">
        <v>400000</v>
      </c>
    </row>
    <row r="451" spans="1:12" x14ac:dyDescent="0.35">
      <c r="A451" s="6" t="s">
        <v>116</v>
      </c>
      <c r="B451" s="6" t="s">
        <v>214</v>
      </c>
      <c r="C451" s="6" t="s">
        <v>223</v>
      </c>
      <c r="D451" s="7" t="s">
        <v>83</v>
      </c>
      <c r="E451" s="7"/>
      <c r="F451" s="6" t="s">
        <v>187</v>
      </c>
      <c r="G451" s="7" t="s">
        <v>84</v>
      </c>
      <c r="H451" s="8">
        <v>45123</v>
      </c>
      <c r="I451" s="7" t="s">
        <v>194</v>
      </c>
      <c r="J451" s="9">
        <v>1661.8720000000001</v>
      </c>
      <c r="K451" s="9">
        <v>339.97800000000001</v>
      </c>
      <c r="L451" s="9">
        <v>565000</v>
      </c>
    </row>
    <row r="452" spans="1:12" x14ac:dyDescent="0.35">
      <c r="A452" s="6" t="s">
        <v>116</v>
      </c>
      <c r="B452" s="6" t="s">
        <v>214</v>
      </c>
      <c r="C452" s="6" t="s">
        <v>223</v>
      </c>
      <c r="D452" s="7" t="s">
        <v>83</v>
      </c>
      <c r="E452" s="7"/>
      <c r="F452" s="6" t="s">
        <v>187</v>
      </c>
      <c r="G452" s="7" t="s">
        <v>84</v>
      </c>
      <c r="H452" s="8">
        <v>45123</v>
      </c>
      <c r="I452" s="7" t="s">
        <v>194</v>
      </c>
      <c r="J452" s="9">
        <v>1176.547</v>
      </c>
      <c r="K452" s="9">
        <v>339.97800000000001</v>
      </c>
      <c r="L452" s="9">
        <v>400000</v>
      </c>
    </row>
    <row r="453" spans="1:12" x14ac:dyDescent="0.35">
      <c r="A453" s="6" t="s">
        <v>116</v>
      </c>
      <c r="B453" s="6" t="s">
        <v>214</v>
      </c>
      <c r="C453" s="6" t="s">
        <v>223</v>
      </c>
      <c r="D453" s="7" t="s">
        <v>83</v>
      </c>
      <c r="E453" s="7"/>
      <c r="F453" s="6" t="s">
        <v>187</v>
      </c>
      <c r="G453" s="7" t="s">
        <v>84</v>
      </c>
      <c r="H453" s="8">
        <v>45116</v>
      </c>
      <c r="I453" s="7" t="s">
        <v>194</v>
      </c>
      <c r="J453" s="9">
        <v>1664.0070000000001</v>
      </c>
      <c r="K453" s="9">
        <v>339.54180000000002</v>
      </c>
      <c r="L453" s="9">
        <v>565000</v>
      </c>
    </row>
    <row r="454" spans="1:12" x14ac:dyDescent="0.35">
      <c r="A454" s="6" t="s">
        <v>116</v>
      </c>
      <c r="B454" s="6" t="s">
        <v>214</v>
      </c>
      <c r="C454" s="6" t="s">
        <v>223</v>
      </c>
      <c r="D454" s="7" t="s">
        <v>83</v>
      </c>
      <c r="E454" s="7"/>
      <c r="F454" s="6" t="s">
        <v>187</v>
      </c>
      <c r="G454" s="7" t="s">
        <v>84</v>
      </c>
      <c r="H454" s="8">
        <v>45116</v>
      </c>
      <c r="I454" s="7" t="s">
        <v>194</v>
      </c>
      <c r="J454" s="9">
        <v>1178.058</v>
      </c>
      <c r="K454" s="9">
        <v>339.54180000000002</v>
      </c>
      <c r="L454" s="9">
        <v>400000</v>
      </c>
    </row>
    <row r="455" spans="1:12" x14ac:dyDescent="0.35">
      <c r="A455" s="6" t="s">
        <v>116</v>
      </c>
      <c r="B455" s="6" t="s">
        <v>214</v>
      </c>
      <c r="C455" s="6" t="s">
        <v>223</v>
      </c>
      <c r="D455" s="7" t="s">
        <v>83</v>
      </c>
      <c r="E455" s="7"/>
      <c r="F455" s="6" t="s">
        <v>187</v>
      </c>
      <c r="G455" s="7" t="s">
        <v>84</v>
      </c>
      <c r="H455" s="8">
        <v>45109</v>
      </c>
      <c r="I455" s="7" t="s">
        <v>194</v>
      </c>
      <c r="J455" s="9">
        <v>1666.3910000000001</v>
      </c>
      <c r="K455" s="9">
        <v>339.05610000000001</v>
      </c>
      <c r="L455" s="9">
        <v>565000</v>
      </c>
    </row>
    <row r="456" spans="1:12" x14ac:dyDescent="0.35">
      <c r="A456" s="6" t="s">
        <v>116</v>
      </c>
      <c r="B456" s="6" t="s">
        <v>214</v>
      </c>
      <c r="C456" s="6" t="s">
        <v>223</v>
      </c>
      <c r="D456" s="7" t="s">
        <v>83</v>
      </c>
      <c r="E456" s="7"/>
      <c r="F456" s="6" t="s">
        <v>187</v>
      </c>
      <c r="G456" s="7" t="s">
        <v>84</v>
      </c>
      <c r="H456" s="8">
        <v>45109</v>
      </c>
      <c r="I456" s="7" t="s">
        <v>194</v>
      </c>
      <c r="J456" s="9">
        <v>1179.7460000000001</v>
      </c>
      <c r="K456" s="9">
        <v>339.05610000000001</v>
      </c>
      <c r="L456" s="9">
        <v>400000</v>
      </c>
    </row>
    <row r="457" spans="1:12" x14ac:dyDescent="0.35">
      <c r="A457" s="6" t="s">
        <v>116</v>
      </c>
      <c r="B457" s="6" t="s">
        <v>214</v>
      </c>
      <c r="C457" s="6" t="s">
        <v>223</v>
      </c>
      <c r="D457" s="7" t="s">
        <v>83</v>
      </c>
      <c r="E457" s="7"/>
      <c r="F457" s="6" t="s">
        <v>187</v>
      </c>
      <c r="G457" s="7" t="s">
        <v>84</v>
      </c>
      <c r="H457" s="8">
        <v>45102</v>
      </c>
      <c r="I457" s="7" t="s">
        <v>194</v>
      </c>
      <c r="J457" s="9">
        <v>1668.3969999999999</v>
      </c>
      <c r="K457" s="9">
        <v>338.64850000000001</v>
      </c>
      <c r="L457" s="9">
        <v>565000</v>
      </c>
    </row>
    <row r="458" spans="1:12" x14ac:dyDescent="0.35">
      <c r="A458" s="6" t="s">
        <v>116</v>
      </c>
      <c r="B458" s="6" t="s">
        <v>214</v>
      </c>
      <c r="C458" s="6" t="s">
        <v>223</v>
      </c>
      <c r="D458" s="7" t="s">
        <v>83</v>
      </c>
      <c r="E458" s="7"/>
      <c r="F458" s="6" t="s">
        <v>187</v>
      </c>
      <c r="G458" s="7" t="s">
        <v>84</v>
      </c>
      <c r="H458" s="8">
        <v>45102</v>
      </c>
      <c r="I458" s="7" t="s">
        <v>194</v>
      </c>
      <c r="J458" s="9">
        <v>1181.1659999999999</v>
      </c>
      <c r="K458" s="9">
        <v>338.64850000000001</v>
      </c>
      <c r="L458" s="9">
        <v>400000</v>
      </c>
    </row>
    <row r="459" spans="1:12" x14ac:dyDescent="0.35">
      <c r="A459" s="6" t="s">
        <v>116</v>
      </c>
      <c r="B459" s="6" t="s">
        <v>214</v>
      </c>
      <c r="C459" s="6" t="s">
        <v>223</v>
      </c>
      <c r="D459" s="7" t="s">
        <v>83</v>
      </c>
      <c r="E459" s="7"/>
      <c r="F459" s="6" t="s">
        <v>187</v>
      </c>
      <c r="G459" s="7" t="s">
        <v>84</v>
      </c>
      <c r="H459" s="8">
        <v>45092</v>
      </c>
      <c r="I459" s="7" t="s">
        <v>194</v>
      </c>
      <c r="J459" s="9">
        <v>1671.481</v>
      </c>
      <c r="K459" s="9">
        <v>338.02350000000001</v>
      </c>
      <c r="L459" s="9">
        <v>565000</v>
      </c>
    </row>
    <row r="460" spans="1:12" x14ac:dyDescent="0.35">
      <c r="A460" s="6" t="s">
        <v>116</v>
      </c>
      <c r="B460" s="6" t="s">
        <v>214</v>
      </c>
      <c r="C460" s="6" t="s">
        <v>223</v>
      </c>
      <c r="D460" s="7" t="s">
        <v>83</v>
      </c>
      <c r="E460" s="7"/>
      <c r="F460" s="6" t="s">
        <v>187</v>
      </c>
      <c r="G460" s="7" t="s">
        <v>84</v>
      </c>
      <c r="H460" s="8">
        <v>45092</v>
      </c>
      <c r="I460" s="7" t="s">
        <v>194</v>
      </c>
      <c r="J460" s="9">
        <v>1183.3499999999999</v>
      </c>
      <c r="K460" s="9">
        <v>338.02350000000001</v>
      </c>
      <c r="L460" s="9">
        <v>400000</v>
      </c>
    </row>
    <row r="461" spans="1:12" x14ac:dyDescent="0.35">
      <c r="A461" s="6" t="s">
        <v>116</v>
      </c>
      <c r="B461" s="6" t="s">
        <v>214</v>
      </c>
      <c r="C461" s="6" t="s">
        <v>223</v>
      </c>
      <c r="D461" s="7" t="s">
        <v>83</v>
      </c>
      <c r="E461" s="7"/>
      <c r="F461" s="6" t="s">
        <v>187</v>
      </c>
      <c r="G461" s="7" t="s">
        <v>84</v>
      </c>
      <c r="H461" s="8">
        <v>45077</v>
      </c>
      <c r="I461" s="7" t="s">
        <v>195</v>
      </c>
      <c r="J461" s="9">
        <v>17205.027999999998</v>
      </c>
      <c r="K461" s="9">
        <v>337.09390000000002</v>
      </c>
      <c r="L461" s="9">
        <v>5800000</v>
      </c>
    </row>
    <row r="462" spans="1:12" x14ac:dyDescent="0.35">
      <c r="A462" s="6" t="s">
        <v>116</v>
      </c>
      <c r="B462" s="6" t="s">
        <v>214</v>
      </c>
      <c r="C462" s="6" t="s">
        <v>223</v>
      </c>
      <c r="D462" s="7" t="s">
        <v>83</v>
      </c>
      <c r="E462" s="7"/>
      <c r="F462" s="6" t="s">
        <v>187</v>
      </c>
      <c r="G462" s="7" t="s">
        <v>84</v>
      </c>
      <c r="H462" s="8">
        <v>45055</v>
      </c>
      <c r="I462" s="7" t="s">
        <v>194</v>
      </c>
      <c r="J462" s="9">
        <v>15792.157999999999</v>
      </c>
      <c r="K462" s="9">
        <v>335.66140000000001</v>
      </c>
      <c r="L462" s="9">
        <v>5300817.8600000003</v>
      </c>
    </row>
    <row r="463" spans="1:12" x14ac:dyDescent="0.35">
      <c r="A463" s="6" t="s">
        <v>116</v>
      </c>
      <c r="B463" s="6" t="s">
        <v>214</v>
      </c>
      <c r="C463" s="6" t="s">
        <v>223</v>
      </c>
      <c r="D463" s="7" t="s">
        <v>83</v>
      </c>
      <c r="E463" s="7"/>
      <c r="F463" s="6" t="s">
        <v>187</v>
      </c>
      <c r="G463" s="7" t="s">
        <v>84</v>
      </c>
      <c r="H463" s="8">
        <v>44983</v>
      </c>
      <c r="I463" s="7" t="s">
        <v>194</v>
      </c>
      <c r="J463" s="9">
        <v>24189.398000000001</v>
      </c>
      <c r="K463" s="9">
        <v>330.8997</v>
      </c>
      <c r="L463" s="9">
        <v>8004264.54</v>
      </c>
    </row>
    <row r="464" spans="1:12" x14ac:dyDescent="0.35">
      <c r="A464" s="6" t="s">
        <v>116</v>
      </c>
      <c r="B464" s="6" t="s">
        <v>214</v>
      </c>
      <c r="C464" s="6" t="s">
        <v>223</v>
      </c>
      <c r="D464" s="7" t="s">
        <v>83</v>
      </c>
      <c r="E464" s="7"/>
      <c r="F464" s="6" t="s">
        <v>187</v>
      </c>
      <c r="G464" s="7" t="s">
        <v>84</v>
      </c>
      <c r="H464" s="8">
        <v>44950</v>
      </c>
      <c r="I464" s="7" t="s">
        <v>195</v>
      </c>
      <c r="J464" s="9">
        <v>4209.643</v>
      </c>
      <c r="K464" s="9">
        <v>328.99009999999998</v>
      </c>
      <c r="L464" s="9">
        <v>1385000</v>
      </c>
    </row>
    <row r="465" spans="1:12" x14ac:dyDescent="0.35">
      <c r="A465" s="6" t="s">
        <v>116</v>
      </c>
      <c r="B465" s="6" t="s">
        <v>214</v>
      </c>
      <c r="C465" s="6" t="s">
        <v>223</v>
      </c>
      <c r="D465" s="7" t="s">
        <v>83</v>
      </c>
      <c r="E465" s="7"/>
      <c r="F465" s="6" t="s">
        <v>187</v>
      </c>
      <c r="G465" s="7" t="s">
        <v>84</v>
      </c>
      <c r="H465" s="8">
        <v>44811</v>
      </c>
      <c r="I465" s="7" t="s">
        <v>195</v>
      </c>
      <c r="J465" s="9">
        <v>35771.913</v>
      </c>
      <c r="K465" s="9">
        <v>321.46519999999998</v>
      </c>
      <c r="L465" s="9">
        <v>11500000</v>
      </c>
    </row>
    <row r="466" spans="1:12" x14ac:dyDescent="0.35">
      <c r="A466" s="6" t="s">
        <v>116</v>
      </c>
      <c r="B466" s="6" t="s">
        <v>211</v>
      </c>
      <c r="C466" s="6" t="s">
        <v>215</v>
      </c>
      <c r="D466" s="7" t="s">
        <v>87</v>
      </c>
      <c r="E466" s="7" t="s">
        <v>87</v>
      </c>
      <c r="F466" s="6" t="s">
        <v>186</v>
      </c>
      <c r="G466" s="7" t="s">
        <v>88</v>
      </c>
      <c r="H466" s="8">
        <v>45937</v>
      </c>
      <c r="I466" s="7" t="s">
        <v>195</v>
      </c>
      <c r="J466" s="9">
        <v>129724.35400000001</v>
      </c>
      <c r="K466" s="9">
        <v>267.69</v>
      </c>
      <c r="L466" s="9">
        <v>34727648.600000001</v>
      </c>
    </row>
    <row r="467" spans="1:12" x14ac:dyDescent="0.35">
      <c r="A467" s="6" t="s">
        <v>116</v>
      </c>
      <c r="B467" s="6" t="s">
        <v>211</v>
      </c>
      <c r="C467" s="6" t="s">
        <v>215</v>
      </c>
      <c r="D467" s="7" t="s">
        <v>87</v>
      </c>
      <c r="E467" s="7" t="s">
        <v>87</v>
      </c>
      <c r="F467" s="6" t="s">
        <v>186</v>
      </c>
      <c r="G467" s="7" t="s">
        <v>88</v>
      </c>
      <c r="H467" s="8">
        <v>45427</v>
      </c>
      <c r="I467" s="7" t="s">
        <v>195</v>
      </c>
      <c r="J467" s="9">
        <v>5599.8689999999997</v>
      </c>
      <c r="K467" s="9">
        <v>214.28</v>
      </c>
      <c r="L467" s="9">
        <v>1200000</v>
      </c>
    </row>
    <row r="468" spans="1:12" x14ac:dyDescent="0.35">
      <c r="A468" s="6" t="s">
        <v>116</v>
      </c>
      <c r="B468" s="6" t="s">
        <v>211</v>
      </c>
      <c r="C468" s="6" t="s">
        <v>215</v>
      </c>
      <c r="D468" s="7" t="s">
        <v>87</v>
      </c>
      <c r="E468" s="7" t="s">
        <v>87</v>
      </c>
      <c r="F468" s="6" t="s">
        <v>186</v>
      </c>
      <c r="G468" s="7" t="s">
        <v>88</v>
      </c>
      <c r="H468" s="8">
        <v>45358</v>
      </c>
      <c r="I468" s="7" t="s">
        <v>195</v>
      </c>
      <c r="J468" s="9">
        <v>1928.7860000000001</v>
      </c>
      <c r="K468" s="9">
        <v>207.374</v>
      </c>
      <c r="L468" s="9">
        <v>400000</v>
      </c>
    </row>
    <row r="469" spans="1:12" x14ac:dyDescent="0.35">
      <c r="A469" s="6" t="s">
        <v>116</v>
      </c>
      <c r="B469" s="6" t="s">
        <v>211</v>
      </c>
      <c r="C469" s="6" t="s">
        <v>215</v>
      </c>
      <c r="D469" s="7" t="s">
        <v>87</v>
      </c>
      <c r="E469" s="7" t="s">
        <v>87</v>
      </c>
      <c r="F469" s="6" t="s">
        <v>186</v>
      </c>
      <c r="G469" s="7" t="s">
        <v>88</v>
      </c>
      <c r="H469" s="8">
        <v>45351</v>
      </c>
      <c r="I469" s="7" t="s">
        <v>195</v>
      </c>
      <c r="J469" s="9">
        <v>1963.5740000000001</v>
      </c>
      <c r="K469" s="9">
        <v>203.7</v>
      </c>
      <c r="L469" s="9">
        <v>400000</v>
      </c>
    </row>
    <row r="470" spans="1:12" x14ac:dyDescent="0.35">
      <c r="A470" s="6" t="s">
        <v>116</v>
      </c>
      <c r="B470" s="6" t="s">
        <v>211</v>
      </c>
      <c r="C470" s="6" t="s">
        <v>215</v>
      </c>
      <c r="D470" s="7" t="s">
        <v>87</v>
      </c>
      <c r="E470" s="7" t="s">
        <v>87</v>
      </c>
      <c r="F470" s="6" t="s">
        <v>186</v>
      </c>
      <c r="G470" s="7" t="s">
        <v>88</v>
      </c>
      <c r="H470" s="8">
        <v>45344</v>
      </c>
      <c r="I470" s="7" t="s">
        <v>195</v>
      </c>
      <c r="J470" s="9">
        <v>1945.712</v>
      </c>
      <c r="K470" s="9">
        <v>205.57</v>
      </c>
      <c r="L470" s="9">
        <v>400000</v>
      </c>
    </row>
    <row r="471" spans="1:12" x14ac:dyDescent="0.35">
      <c r="A471" s="6" t="s">
        <v>116</v>
      </c>
      <c r="B471" s="6" t="s">
        <v>211</v>
      </c>
      <c r="C471" s="6" t="s">
        <v>215</v>
      </c>
      <c r="D471" s="7" t="s">
        <v>87</v>
      </c>
      <c r="E471" s="7" t="s">
        <v>87</v>
      </c>
      <c r="F471" s="6" t="s">
        <v>186</v>
      </c>
      <c r="G471" s="7" t="s">
        <v>88</v>
      </c>
      <c r="H471" s="8">
        <v>45337</v>
      </c>
      <c r="I471" s="7" t="s">
        <v>195</v>
      </c>
      <c r="J471" s="9">
        <v>1980.1189999999999</v>
      </c>
      <c r="K471" s="9">
        <v>201.99799999999999</v>
      </c>
      <c r="L471" s="9">
        <v>400000</v>
      </c>
    </row>
    <row r="472" spans="1:12" x14ac:dyDescent="0.35">
      <c r="A472" s="6" t="s">
        <v>116</v>
      </c>
      <c r="B472" s="6" t="s">
        <v>211</v>
      </c>
      <c r="C472" s="6" t="s">
        <v>215</v>
      </c>
      <c r="D472" s="7" t="s">
        <v>87</v>
      </c>
      <c r="E472" s="7" t="s">
        <v>87</v>
      </c>
      <c r="F472" s="6" t="s">
        <v>186</v>
      </c>
      <c r="G472" s="7" t="s">
        <v>88</v>
      </c>
      <c r="H472" s="8">
        <v>45330</v>
      </c>
      <c r="I472" s="7" t="s">
        <v>195</v>
      </c>
      <c r="J472" s="9">
        <v>2013.0150000000001</v>
      </c>
      <c r="K472" s="9">
        <v>198.697</v>
      </c>
      <c r="L472" s="9">
        <v>400000</v>
      </c>
    </row>
    <row r="473" spans="1:12" x14ac:dyDescent="0.35">
      <c r="A473" s="6" t="s">
        <v>116</v>
      </c>
      <c r="B473" s="6" t="s">
        <v>211</v>
      </c>
      <c r="C473" s="6" t="s">
        <v>215</v>
      </c>
      <c r="D473" s="7" t="s">
        <v>87</v>
      </c>
      <c r="E473" s="7" t="s">
        <v>87</v>
      </c>
      <c r="F473" s="6" t="s">
        <v>186</v>
      </c>
      <c r="G473" s="7" t="s">
        <v>88</v>
      </c>
      <c r="H473" s="8">
        <v>45323</v>
      </c>
      <c r="I473" s="7" t="s">
        <v>195</v>
      </c>
      <c r="J473" s="9">
        <v>2014.079</v>
      </c>
      <c r="K473" s="9">
        <v>198.59200000000001</v>
      </c>
      <c r="L473" s="9">
        <v>400000</v>
      </c>
    </row>
    <row r="474" spans="1:12" x14ac:dyDescent="0.35">
      <c r="A474" s="6" t="s">
        <v>116</v>
      </c>
      <c r="B474" s="6" t="s">
        <v>211</v>
      </c>
      <c r="C474" s="6" t="s">
        <v>215</v>
      </c>
      <c r="D474" s="7" t="s">
        <v>87</v>
      </c>
      <c r="E474" s="7" t="s">
        <v>87</v>
      </c>
      <c r="F474" s="6" t="s">
        <v>186</v>
      </c>
      <c r="G474" s="7" t="s">
        <v>88</v>
      </c>
      <c r="H474" s="8">
        <v>45316</v>
      </c>
      <c r="I474" s="7" t="s">
        <v>195</v>
      </c>
      <c r="J474" s="9">
        <v>2060.5630000000001</v>
      </c>
      <c r="K474" s="9">
        <v>194.11199999999999</v>
      </c>
      <c r="L474" s="9">
        <v>400000</v>
      </c>
    </row>
    <row r="475" spans="1:12" x14ac:dyDescent="0.35">
      <c r="A475" s="6" t="s">
        <v>116</v>
      </c>
      <c r="B475" s="6" t="s">
        <v>211</v>
      </c>
      <c r="C475" s="6" t="s">
        <v>215</v>
      </c>
      <c r="D475" s="7" t="s">
        <v>87</v>
      </c>
      <c r="E475" s="7" t="s">
        <v>87</v>
      </c>
      <c r="F475" s="6" t="s">
        <v>186</v>
      </c>
      <c r="G475" s="7" t="s">
        <v>88</v>
      </c>
      <c r="H475" s="8">
        <v>45309</v>
      </c>
      <c r="I475" s="7" t="s">
        <v>195</v>
      </c>
      <c r="J475" s="9">
        <v>2064.8069999999998</v>
      </c>
      <c r="K475" s="9">
        <v>193.71299999999999</v>
      </c>
      <c r="L475" s="9">
        <v>400000</v>
      </c>
    </row>
    <row r="476" spans="1:12" x14ac:dyDescent="0.35">
      <c r="A476" s="6" t="s">
        <v>116</v>
      </c>
      <c r="B476" s="6" t="s">
        <v>211</v>
      </c>
      <c r="C476" s="6" t="s">
        <v>215</v>
      </c>
      <c r="D476" s="7" t="s">
        <v>87</v>
      </c>
      <c r="E476" s="7" t="s">
        <v>87</v>
      </c>
      <c r="F476" s="6" t="s">
        <v>186</v>
      </c>
      <c r="G476" s="7" t="s">
        <v>88</v>
      </c>
      <c r="H476" s="8">
        <v>45302</v>
      </c>
      <c r="I476" s="7" t="s">
        <v>195</v>
      </c>
      <c r="J476" s="9">
        <v>2044.0930000000001</v>
      </c>
      <c r="K476" s="9">
        <v>195.67599999999999</v>
      </c>
      <c r="L476" s="9">
        <v>400000</v>
      </c>
    </row>
    <row r="477" spans="1:12" x14ac:dyDescent="0.35">
      <c r="A477" s="6" t="s">
        <v>116</v>
      </c>
      <c r="B477" s="6" t="s">
        <v>211</v>
      </c>
      <c r="C477" s="6" t="s">
        <v>215</v>
      </c>
      <c r="D477" s="7" t="s">
        <v>87</v>
      </c>
      <c r="E477" s="7" t="s">
        <v>87</v>
      </c>
      <c r="F477" s="6" t="s">
        <v>186</v>
      </c>
      <c r="G477" s="7" t="s">
        <v>88</v>
      </c>
      <c r="H477" s="8">
        <v>45295</v>
      </c>
      <c r="I477" s="7" t="s">
        <v>195</v>
      </c>
      <c r="J477" s="9">
        <v>2053.6439999999998</v>
      </c>
      <c r="K477" s="9">
        <v>194.76599999999999</v>
      </c>
      <c r="L477" s="9">
        <v>400000</v>
      </c>
    </row>
    <row r="478" spans="1:12" x14ac:dyDescent="0.35">
      <c r="A478" s="6" t="s">
        <v>116</v>
      </c>
      <c r="B478" s="6" t="s">
        <v>211</v>
      </c>
      <c r="C478" s="6" t="s">
        <v>215</v>
      </c>
      <c r="D478" s="7" t="s">
        <v>87</v>
      </c>
      <c r="E478" s="7" t="s">
        <v>87</v>
      </c>
      <c r="F478" s="6" t="s">
        <v>186</v>
      </c>
      <c r="G478" s="7" t="s">
        <v>88</v>
      </c>
      <c r="H478" s="8">
        <v>45288</v>
      </c>
      <c r="I478" s="7" t="s">
        <v>195</v>
      </c>
      <c r="J478" s="9">
        <v>2061.0619999999999</v>
      </c>
      <c r="K478" s="9">
        <v>194.065</v>
      </c>
      <c r="L478" s="9">
        <v>400000</v>
      </c>
    </row>
    <row r="479" spans="1:12" x14ac:dyDescent="0.35">
      <c r="A479" s="6" t="s">
        <v>116</v>
      </c>
      <c r="B479" s="6" t="s">
        <v>211</v>
      </c>
      <c r="C479" s="6" t="s">
        <v>215</v>
      </c>
      <c r="D479" s="7" t="s">
        <v>87</v>
      </c>
      <c r="E479" s="7" t="s">
        <v>87</v>
      </c>
      <c r="F479" s="6" t="s">
        <v>186</v>
      </c>
      <c r="G479" s="7" t="s">
        <v>88</v>
      </c>
      <c r="H479" s="8">
        <v>45280</v>
      </c>
      <c r="I479" s="7" t="s">
        <v>195</v>
      </c>
      <c r="J479" s="9">
        <v>2118.7849999999999</v>
      </c>
      <c r="K479" s="9">
        <v>188.77799999999999</v>
      </c>
      <c r="L479" s="9">
        <v>400000</v>
      </c>
    </row>
    <row r="480" spans="1:12" x14ac:dyDescent="0.35">
      <c r="A480" s="6" t="s">
        <v>116</v>
      </c>
      <c r="B480" s="6" t="s">
        <v>211</v>
      </c>
      <c r="C480" s="6" t="s">
        <v>215</v>
      </c>
      <c r="D480" s="7" t="s">
        <v>87</v>
      </c>
      <c r="E480" s="7" t="s">
        <v>87</v>
      </c>
      <c r="F480" s="6" t="s">
        <v>186</v>
      </c>
      <c r="G480" s="7" t="s">
        <v>88</v>
      </c>
      <c r="H480" s="8">
        <v>45238</v>
      </c>
      <c r="I480" s="7" t="s">
        <v>195</v>
      </c>
      <c r="J480" s="9">
        <v>2318.2269999999999</v>
      </c>
      <c r="K480" s="9">
        <v>172.53700000000001</v>
      </c>
      <c r="L480" s="9">
        <v>400000</v>
      </c>
    </row>
    <row r="481" spans="1:12" x14ac:dyDescent="0.35">
      <c r="A481" s="6" t="s">
        <v>116</v>
      </c>
      <c r="B481" s="6" t="s">
        <v>211</v>
      </c>
      <c r="C481" s="6" t="s">
        <v>215</v>
      </c>
      <c r="D481" s="7" t="s">
        <v>87</v>
      </c>
      <c r="E481" s="7" t="s">
        <v>87</v>
      </c>
      <c r="F481" s="6" t="s">
        <v>186</v>
      </c>
      <c r="G481" s="7" t="s">
        <v>88</v>
      </c>
      <c r="H481" s="8">
        <v>45231</v>
      </c>
      <c r="I481" s="7" t="s">
        <v>195</v>
      </c>
      <c r="J481" s="9">
        <v>19034.77</v>
      </c>
      <c r="K481" s="9">
        <v>168.10499999999999</v>
      </c>
      <c r="L481" s="9">
        <v>3200000</v>
      </c>
    </row>
    <row r="482" spans="1:12" x14ac:dyDescent="0.35">
      <c r="A482" s="6" t="s">
        <v>116</v>
      </c>
      <c r="B482" s="6" t="s">
        <v>211</v>
      </c>
      <c r="C482" s="6" t="s">
        <v>215</v>
      </c>
      <c r="D482" s="7" t="s">
        <v>87</v>
      </c>
      <c r="E482" s="7" t="s">
        <v>87</v>
      </c>
      <c r="F482" s="6" t="s">
        <v>186</v>
      </c>
      <c r="G482" s="7" t="s">
        <v>88</v>
      </c>
      <c r="H482" s="8">
        <v>45231</v>
      </c>
      <c r="I482" s="7" t="s">
        <v>195</v>
      </c>
      <c r="J482" s="9">
        <v>2379.346</v>
      </c>
      <c r="K482" s="9">
        <v>168.10499999999999</v>
      </c>
      <c r="L482" s="9">
        <v>400000</v>
      </c>
    </row>
    <row r="483" spans="1:12" x14ac:dyDescent="0.35">
      <c r="A483" s="6" t="s">
        <v>116</v>
      </c>
      <c r="B483" s="6" t="s">
        <v>211</v>
      </c>
      <c r="C483" s="6" t="s">
        <v>215</v>
      </c>
      <c r="D483" s="7" t="s">
        <v>87</v>
      </c>
      <c r="E483" s="7" t="s">
        <v>87</v>
      </c>
      <c r="F483" s="6" t="s">
        <v>186</v>
      </c>
      <c r="G483" s="7" t="s">
        <v>88</v>
      </c>
      <c r="H483" s="8">
        <v>45225</v>
      </c>
      <c r="I483" s="7" t="s">
        <v>195</v>
      </c>
      <c r="J483" s="9">
        <v>2398.623</v>
      </c>
      <c r="K483" s="9">
        <v>166.75399999999999</v>
      </c>
      <c r="L483" s="9">
        <v>400000</v>
      </c>
    </row>
    <row r="484" spans="1:12" x14ac:dyDescent="0.35">
      <c r="A484" s="6" t="s">
        <v>116</v>
      </c>
      <c r="B484" s="6" t="s">
        <v>211</v>
      </c>
      <c r="C484" s="6" t="s">
        <v>215</v>
      </c>
      <c r="D484" s="7" t="s">
        <v>87</v>
      </c>
      <c r="E484" s="7" t="s">
        <v>87</v>
      </c>
      <c r="F484" s="6" t="s">
        <v>186</v>
      </c>
      <c r="G484" s="7" t="s">
        <v>88</v>
      </c>
      <c r="H484" s="8">
        <v>45217</v>
      </c>
      <c r="I484" s="7" t="s">
        <v>195</v>
      </c>
      <c r="J484" s="9">
        <v>2320.3519999999999</v>
      </c>
      <c r="K484" s="9">
        <v>172.37899999999999</v>
      </c>
      <c r="L484" s="9">
        <v>400000</v>
      </c>
    </row>
    <row r="485" spans="1:12" x14ac:dyDescent="0.35">
      <c r="A485" s="6" t="s">
        <v>116</v>
      </c>
      <c r="B485" s="6" t="s">
        <v>211</v>
      </c>
      <c r="C485" s="6" t="s">
        <v>215</v>
      </c>
      <c r="D485" s="7" t="s">
        <v>87</v>
      </c>
      <c r="E485" s="7" t="s">
        <v>87</v>
      </c>
      <c r="F485" s="6" t="s">
        <v>186</v>
      </c>
      <c r="G485" s="7" t="s">
        <v>88</v>
      </c>
      <c r="H485" s="8">
        <v>45210</v>
      </c>
      <c r="I485" s="7" t="s">
        <v>195</v>
      </c>
      <c r="J485" s="9">
        <v>2321.6320000000001</v>
      </c>
      <c r="K485" s="9">
        <v>172.28399999999999</v>
      </c>
      <c r="L485" s="9">
        <v>400000</v>
      </c>
    </row>
    <row r="486" spans="1:12" x14ac:dyDescent="0.35">
      <c r="A486" s="6" t="s">
        <v>116</v>
      </c>
      <c r="B486" s="6" t="s">
        <v>211</v>
      </c>
      <c r="C486" s="6" t="s">
        <v>215</v>
      </c>
      <c r="D486" s="7" t="s">
        <v>87</v>
      </c>
      <c r="E486" s="7" t="s">
        <v>87</v>
      </c>
      <c r="F486" s="6" t="s">
        <v>186</v>
      </c>
      <c r="G486" s="7" t="s">
        <v>88</v>
      </c>
      <c r="H486" s="8">
        <v>45203</v>
      </c>
      <c r="I486" s="7" t="s">
        <v>195</v>
      </c>
      <c r="J486" s="9">
        <v>2363.1239999999998</v>
      </c>
      <c r="K486" s="9">
        <v>169.25899999999999</v>
      </c>
      <c r="L486" s="9">
        <v>400000</v>
      </c>
    </row>
    <row r="487" spans="1:12" x14ac:dyDescent="0.35">
      <c r="A487" s="6" t="s">
        <v>116</v>
      </c>
      <c r="B487" s="6" t="s">
        <v>211</v>
      </c>
      <c r="C487" s="6" t="s">
        <v>215</v>
      </c>
      <c r="D487" s="7" t="s">
        <v>87</v>
      </c>
      <c r="E487" s="7" t="s">
        <v>87</v>
      </c>
      <c r="F487" s="6" t="s">
        <v>186</v>
      </c>
      <c r="G487" s="7" t="s">
        <v>88</v>
      </c>
      <c r="H487" s="8">
        <v>45196</v>
      </c>
      <c r="I487" s="7" t="s">
        <v>195</v>
      </c>
      <c r="J487" s="9">
        <v>2340.7890000000002</v>
      </c>
      <c r="K487" s="9">
        <v>170.874</v>
      </c>
      <c r="L487" s="9">
        <v>400000</v>
      </c>
    </row>
    <row r="488" spans="1:12" x14ac:dyDescent="0.35">
      <c r="A488" s="6" t="s">
        <v>116</v>
      </c>
      <c r="B488" s="6" t="s">
        <v>211</v>
      </c>
      <c r="C488" s="6" t="s">
        <v>215</v>
      </c>
      <c r="D488" s="7" t="s">
        <v>87</v>
      </c>
      <c r="E488" s="7" t="s">
        <v>87</v>
      </c>
      <c r="F488" s="6" t="s">
        <v>186</v>
      </c>
      <c r="G488" s="7" t="s">
        <v>88</v>
      </c>
      <c r="H488" s="8">
        <v>45190</v>
      </c>
      <c r="I488" s="7" t="s">
        <v>195</v>
      </c>
      <c r="J488" s="9">
        <v>2329.5419999999999</v>
      </c>
      <c r="K488" s="9">
        <v>171.69900000000001</v>
      </c>
      <c r="L488" s="9">
        <v>400000</v>
      </c>
    </row>
    <row r="489" spans="1:12" x14ac:dyDescent="0.35">
      <c r="A489" s="6" t="s">
        <v>116</v>
      </c>
      <c r="B489" s="6" t="s">
        <v>211</v>
      </c>
      <c r="C489" s="6" t="s">
        <v>215</v>
      </c>
      <c r="D489" s="7" t="s">
        <v>87</v>
      </c>
      <c r="E489" s="7" t="s">
        <v>87</v>
      </c>
      <c r="F489" s="6" t="s">
        <v>186</v>
      </c>
      <c r="G489" s="7" t="s">
        <v>88</v>
      </c>
      <c r="H489" s="8">
        <v>45182</v>
      </c>
      <c r="I489" s="7" t="s">
        <v>195</v>
      </c>
      <c r="J489" s="9">
        <v>2306.5569999999998</v>
      </c>
      <c r="K489" s="9">
        <v>173.41</v>
      </c>
      <c r="L489" s="9">
        <v>400000</v>
      </c>
    </row>
    <row r="490" spans="1:12" x14ac:dyDescent="0.35">
      <c r="A490" s="6" t="s">
        <v>116</v>
      </c>
      <c r="B490" s="6" t="s">
        <v>211</v>
      </c>
      <c r="C490" s="6" t="s">
        <v>215</v>
      </c>
      <c r="D490" s="7" t="s">
        <v>87</v>
      </c>
      <c r="E490" s="7" t="s">
        <v>87</v>
      </c>
      <c r="F490" s="6" t="s">
        <v>186</v>
      </c>
      <c r="G490" s="7" t="s">
        <v>88</v>
      </c>
      <c r="H490" s="8">
        <v>45175</v>
      </c>
      <c r="I490" s="7" t="s">
        <v>195</v>
      </c>
      <c r="J490" s="9">
        <v>2339.1460000000002</v>
      </c>
      <c r="K490" s="9">
        <v>170.994</v>
      </c>
      <c r="L490" s="9">
        <v>400000</v>
      </c>
    </row>
    <row r="491" spans="1:12" x14ac:dyDescent="0.35">
      <c r="A491" s="6" t="s">
        <v>116</v>
      </c>
      <c r="B491" s="6" t="s">
        <v>211</v>
      </c>
      <c r="C491" s="6" t="s">
        <v>215</v>
      </c>
      <c r="D491" s="7" t="s">
        <v>87</v>
      </c>
      <c r="E491" s="7" t="s">
        <v>87</v>
      </c>
      <c r="F491" s="6" t="s">
        <v>186</v>
      </c>
      <c r="G491" s="7" t="s">
        <v>88</v>
      </c>
      <c r="H491" s="8">
        <v>45168</v>
      </c>
      <c r="I491" s="7" t="s">
        <v>195</v>
      </c>
      <c r="J491" s="9">
        <v>2374.5439999999999</v>
      </c>
      <c r="K491" s="9">
        <v>168.44499999999999</v>
      </c>
      <c r="L491" s="9">
        <v>400000</v>
      </c>
    </row>
    <row r="492" spans="1:12" x14ac:dyDescent="0.35">
      <c r="A492" s="6" t="s">
        <v>116</v>
      </c>
      <c r="B492" s="6" t="s">
        <v>211</v>
      </c>
      <c r="C492" s="6" t="s">
        <v>215</v>
      </c>
      <c r="D492" s="7" t="s">
        <v>87</v>
      </c>
      <c r="E492" s="7" t="s">
        <v>87</v>
      </c>
      <c r="F492" s="6" t="s">
        <v>186</v>
      </c>
      <c r="G492" s="7" t="s">
        <v>88</v>
      </c>
      <c r="H492" s="8">
        <v>45160</v>
      </c>
      <c r="I492" s="7" t="s">
        <v>195</v>
      </c>
      <c r="J492" s="9">
        <v>2394.0859999999998</v>
      </c>
      <c r="K492" s="9">
        <v>167.07</v>
      </c>
      <c r="L492" s="9">
        <v>400000</v>
      </c>
    </row>
    <row r="493" spans="1:12" x14ac:dyDescent="0.35">
      <c r="A493" s="6" t="s">
        <v>116</v>
      </c>
      <c r="B493" s="6" t="s">
        <v>211</v>
      </c>
      <c r="C493" s="6" t="s">
        <v>215</v>
      </c>
      <c r="D493" s="7" t="s">
        <v>87</v>
      </c>
      <c r="E493" s="7" t="s">
        <v>87</v>
      </c>
      <c r="F493" s="6" t="s">
        <v>186</v>
      </c>
      <c r="G493" s="7" t="s">
        <v>88</v>
      </c>
      <c r="H493" s="8">
        <v>45131</v>
      </c>
      <c r="I493" s="7" t="s">
        <v>195</v>
      </c>
      <c r="J493" s="9">
        <v>2422.2420000000002</v>
      </c>
      <c r="K493" s="9">
        <v>165.12799999999999</v>
      </c>
      <c r="L493" s="9">
        <v>400000</v>
      </c>
    </row>
    <row r="494" spans="1:12" x14ac:dyDescent="0.35">
      <c r="A494" s="6" t="s">
        <v>116</v>
      </c>
      <c r="B494" s="6" t="s">
        <v>211</v>
      </c>
      <c r="C494" s="6" t="s">
        <v>215</v>
      </c>
      <c r="D494" s="7" t="s">
        <v>87</v>
      </c>
      <c r="E494" s="7" t="s">
        <v>87</v>
      </c>
      <c r="F494" s="6" t="s">
        <v>186</v>
      </c>
      <c r="G494" s="7" t="s">
        <v>88</v>
      </c>
      <c r="H494" s="8">
        <v>45124</v>
      </c>
      <c r="I494" s="7" t="s">
        <v>195</v>
      </c>
      <c r="J494" s="9">
        <v>2437.3870000000002</v>
      </c>
      <c r="K494" s="9">
        <v>164.102</v>
      </c>
      <c r="L494" s="9">
        <v>400000</v>
      </c>
    </row>
    <row r="495" spans="1:12" x14ac:dyDescent="0.35">
      <c r="A495" s="6" t="s">
        <v>116</v>
      </c>
      <c r="B495" s="6" t="s">
        <v>211</v>
      </c>
      <c r="C495" s="6" t="s">
        <v>215</v>
      </c>
      <c r="D495" s="7" t="s">
        <v>87</v>
      </c>
      <c r="E495" s="7" t="s">
        <v>87</v>
      </c>
      <c r="F495" s="6" t="s">
        <v>186</v>
      </c>
      <c r="G495" s="7" t="s">
        <v>88</v>
      </c>
      <c r="H495" s="8">
        <v>45117</v>
      </c>
      <c r="I495" s="7" t="s">
        <v>195</v>
      </c>
      <c r="J495" s="9">
        <v>2469.21</v>
      </c>
      <c r="K495" s="9">
        <v>161.98699999999999</v>
      </c>
      <c r="L495" s="9">
        <v>400000</v>
      </c>
    </row>
    <row r="496" spans="1:12" x14ac:dyDescent="0.35">
      <c r="A496" s="6" t="s">
        <v>116</v>
      </c>
      <c r="B496" s="6" t="s">
        <v>211</v>
      </c>
      <c r="C496" s="6" t="s">
        <v>215</v>
      </c>
      <c r="D496" s="7" t="s">
        <v>87</v>
      </c>
      <c r="E496" s="7" t="s">
        <v>87</v>
      </c>
      <c r="F496" s="6" t="s">
        <v>186</v>
      </c>
      <c r="G496" s="7" t="s">
        <v>88</v>
      </c>
      <c r="H496" s="8">
        <v>45110</v>
      </c>
      <c r="I496" s="7" t="s">
        <v>195</v>
      </c>
      <c r="J496" s="9">
        <v>2476.4569999999999</v>
      </c>
      <c r="K496" s="9">
        <v>161.51300000000001</v>
      </c>
      <c r="L496" s="9">
        <v>400000</v>
      </c>
    </row>
    <row r="497" spans="1:12" x14ac:dyDescent="0.35">
      <c r="A497" s="6" t="s">
        <v>116</v>
      </c>
      <c r="B497" s="6" t="s">
        <v>211</v>
      </c>
      <c r="C497" s="6" t="s">
        <v>215</v>
      </c>
      <c r="D497" s="7" t="s">
        <v>87</v>
      </c>
      <c r="E497" s="7" t="s">
        <v>87</v>
      </c>
      <c r="F497" s="6" t="s">
        <v>186</v>
      </c>
      <c r="G497" s="7" t="s">
        <v>88</v>
      </c>
      <c r="H497" s="8">
        <v>45103</v>
      </c>
      <c r="I497" s="7" t="s">
        <v>195</v>
      </c>
      <c r="J497" s="9">
        <v>2532.08</v>
      </c>
      <c r="K497" s="9">
        <v>157.965</v>
      </c>
      <c r="L497" s="9">
        <v>400000</v>
      </c>
    </row>
    <row r="498" spans="1:12" x14ac:dyDescent="0.35">
      <c r="A498" s="6" t="s">
        <v>116</v>
      </c>
      <c r="B498" s="6" t="s">
        <v>211</v>
      </c>
      <c r="C498" s="6" t="s">
        <v>215</v>
      </c>
      <c r="D498" s="7" t="s">
        <v>87</v>
      </c>
      <c r="E498" s="7" t="s">
        <v>87</v>
      </c>
      <c r="F498" s="6" t="s">
        <v>186</v>
      </c>
      <c r="G498" s="7" t="s">
        <v>88</v>
      </c>
      <c r="H498" s="8">
        <v>45093</v>
      </c>
      <c r="I498" s="7" t="s">
        <v>195</v>
      </c>
      <c r="J498" s="9">
        <v>2519.2260000000001</v>
      </c>
      <c r="K498" s="9">
        <v>158.77099999999999</v>
      </c>
      <c r="L498" s="9">
        <v>400000</v>
      </c>
    </row>
    <row r="499" spans="1:12" x14ac:dyDescent="0.35">
      <c r="A499" s="6" t="s">
        <v>116</v>
      </c>
      <c r="B499" s="6" t="s">
        <v>211</v>
      </c>
      <c r="C499" s="6" t="s">
        <v>215</v>
      </c>
      <c r="D499" s="7" t="s">
        <v>87</v>
      </c>
      <c r="E499" s="7" t="s">
        <v>87</v>
      </c>
      <c r="F499" s="6" t="s">
        <v>186</v>
      </c>
      <c r="G499" s="7" t="s">
        <v>88</v>
      </c>
      <c r="H499" s="8">
        <v>45077</v>
      </c>
      <c r="I499" s="7" t="s">
        <v>195</v>
      </c>
      <c r="J499" s="9">
        <v>10388.821</v>
      </c>
      <c r="K499" s="9">
        <v>154.00399999999999</v>
      </c>
      <c r="L499" s="9">
        <v>1600000</v>
      </c>
    </row>
    <row r="500" spans="1:12" x14ac:dyDescent="0.35">
      <c r="A500" s="6" t="s">
        <v>116</v>
      </c>
      <c r="B500" s="6" t="s">
        <v>211</v>
      </c>
      <c r="C500" s="6" t="s">
        <v>215</v>
      </c>
      <c r="D500" s="7" t="s">
        <v>87</v>
      </c>
      <c r="E500" s="7" t="s">
        <v>87</v>
      </c>
      <c r="F500" s="6" t="s">
        <v>186</v>
      </c>
      <c r="G500" s="7" t="s">
        <v>88</v>
      </c>
      <c r="H500" s="8">
        <v>45027</v>
      </c>
      <c r="I500" s="7" t="s">
        <v>195</v>
      </c>
      <c r="J500" s="9">
        <v>10860.906000000001</v>
      </c>
      <c r="K500" s="9">
        <v>147.31</v>
      </c>
      <c r="L500" s="9">
        <v>1600000</v>
      </c>
    </row>
    <row r="501" spans="1:12" x14ac:dyDescent="0.35">
      <c r="A501" s="6" t="s">
        <v>116</v>
      </c>
      <c r="B501" s="6" t="s">
        <v>214</v>
      </c>
      <c r="C501" s="6" t="s">
        <v>233</v>
      </c>
      <c r="D501" s="7" t="s">
        <v>160</v>
      </c>
      <c r="E501" s="7"/>
      <c r="F501" s="6" t="s">
        <v>187</v>
      </c>
      <c r="G501" s="7" t="s">
        <v>161</v>
      </c>
      <c r="H501" s="8">
        <v>46122</v>
      </c>
      <c r="I501" s="7" t="s">
        <v>194</v>
      </c>
      <c r="J501" s="9">
        <v>129449.838</v>
      </c>
      <c r="K501" s="9">
        <v>38.6509</v>
      </c>
      <c r="L501" s="9">
        <v>5003302.71</v>
      </c>
    </row>
    <row r="502" spans="1:12" x14ac:dyDescent="0.35">
      <c r="A502" s="6" t="s">
        <v>116</v>
      </c>
      <c r="B502" s="6" t="s">
        <v>214</v>
      </c>
      <c r="C502" s="6" t="s">
        <v>233</v>
      </c>
      <c r="D502" s="7" t="s">
        <v>160</v>
      </c>
      <c r="E502" s="7"/>
      <c r="F502" s="6" t="s">
        <v>187</v>
      </c>
      <c r="G502" s="7" t="s">
        <v>161</v>
      </c>
      <c r="H502" s="8">
        <v>46101</v>
      </c>
      <c r="I502" s="7" t="s">
        <v>194</v>
      </c>
      <c r="J502" s="9">
        <v>259773.321</v>
      </c>
      <c r="K502" s="9">
        <v>38.497100000000003</v>
      </c>
      <c r="L502" s="9">
        <v>10000419.51</v>
      </c>
    </row>
    <row r="503" spans="1:12" x14ac:dyDescent="0.35">
      <c r="A503" s="6" t="s">
        <v>116</v>
      </c>
      <c r="B503" s="6" t="s">
        <v>214</v>
      </c>
      <c r="C503" s="6" t="s">
        <v>233</v>
      </c>
      <c r="D503" s="7" t="s">
        <v>160</v>
      </c>
      <c r="E503" s="7"/>
      <c r="F503" s="6" t="s">
        <v>187</v>
      </c>
      <c r="G503" s="7" t="s">
        <v>161</v>
      </c>
      <c r="H503" s="8">
        <v>46091</v>
      </c>
      <c r="I503" s="7" t="s">
        <v>194</v>
      </c>
      <c r="J503" s="9">
        <v>54667.569000000003</v>
      </c>
      <c r="K503" s="9">
        <v>38.388300000000001</v>
      </c>
      <c r="L503" s="9">
        <v>2098574.0499999998</v>
      </c>
    </row>
    <row r="504" spans="1:12" x14ac:dyDescent="0.35">
      <c r="A504" s="6" t="s">
        <v>116</v>
      </c>
      <c r="B504" s="6" t="s">
        <v>214</v>
      </c>
      <c r="C504" s="6" t="s">
        <v>233</v>
      </c>
      <c r="D504" s="7" t="s">
        <v>160</v>
      </c>
      <c r="E504" s="7"/>
      <c r="F504" s="6" t="s">
        <v>187</v>
      </c>
      <c r="G504" s="7" t="s">
        <v>161</v>
      </c>
      <c r="H504" s="8">
        <v>46085</v>
      </c>
      <c r="I504" s="7" t="s">
        <v>194</v>
      </c>
      <c r="J504" s="9">
        <v>260507.573</v>
      </c>
      <c r="K504" s="9">
        <v>38.403100000000002</v>
      </c>
      <c r="L504" s="9">
        <v>10004198.34</v>
      </c>
    </row>
    <row r="505" spans="1:12" x14ac:dyDescent="0.35">
      <c r="A505" s="6" t="s">
        <v>116</v>
      </c>
      <c r="B505" s="6" t="s">
        <v>214</v>
      </c>
      <c r="C505" s="6" t="s">
        <v>233</v>
      </c>
      <c r="D505" s="7" t="s">
        <v>160</v>
      </c>
      <c r="E505" s="7"/>
      <c r="F505" s="6" t="s">
        <v>187</v>
      </c>
      <c r="G505" s="7" t="s">
        <v>161</v>
      </c>
      <c r="H505" s="8">
        <v>46050</v>
      </c>
      <c r="I505" s="7" t="s">
        <v>194</v>
      </c>
      <c r="J505" s="9">
        <v>262463.05800000002</v>
      </c>
      <c r="K505" s="9">
        <v>38.132399999999997</v>
      </c>
      <c r="L505" s="9">
        <v>10008246.23</v>
      </c>
    </row>
    <row r="506" spans="1:12" x14ac:dyDescent="0.35">
      <c r="A506" s="6" t="s">
        <v>116</v>
      </c>
      <c r="B506" s="6" t="s">
        <v>214</v>
      </c>
      <c r="C506" s="6" t="s">
        <v>233</v>
      </c>
      <c r="D506" s="7" t="s">
        <v>160</v>
      </c>
      <c r="E506" s="7"/>
      <c r="F506" s="6" t="s">
        <v>187</v>
      </c>
      <c r="G506" s="7" t="s">
        <v>161</v>
      </c>
      <c r="H506" s="8">
        <v>46049</v>
      </c>
      <c r="I506" s="7" t="s">
        <v>194</v>
      </c>
      <c r="J506" s="9">
        <v>110157.289</v>
      </c>
      <c r="K506" s="9">
        <v>38.1006</v>
      </c>
      <c r="L506" s="9">
        <v>4197016.84</v>
      </c>
    </row>
    <row r="507" spans="1:12" x14ac:dyDescent="0.35">
      <c r="A507" s="6" t="s">
        <v>116</v>
      </c>
      <c r="B507" s="6" t="s">
        <v>214</v>
      </c>
      <c r="C507" s="6" t="s">
        <v>233</v>
      </c>
      <c r="D507" s="7" t="s">
        <v>160</v>
      </c>
      <c r="E507" s="7"/>
      <c r="F507" s="6" t="s">
        <v>187</v>
      </c>
      <c r="G507" s="7" t="s">
        <v>161</v>
      </c>
      <c r="H507" s="8">
        <v>45996</v>
      </c>
      <c r="I507" s="7" t="s">
        <v>195</v>
      </c>
      <c r="J507" s="9">
        <v>60908.133000000002</v>
      </c>
      <c r="K507" s="9">
        <v>37.759900000000002</v>
      </c>
      <c r="L507" s="9">
        <v>2300000</v>
      </c>
    </row>
    <row r="508" spans="1:12" x14ac:dyDescent="0.35">
      <c r="A508" s="6" t="s">
        <v>116</v>
      </c>
      <c r="B508" s="6" t="s">
        <v>214</v>
      </c>
      <c r="C508" s="6" t="s">
        <v>233</v>
      </c>
      <c r="D508" s="7" t="s">
        <v>160</v>
      </c>
      <c r="E508" s="7"/>
      <c r="F508" s="6" t="s">
        <v>187</v>
      </c>
      <c r="G508" s="7" t="s">
        <v>161</v>
      </c>
      <c r="H508" s="8">
        <v>45978</v>
      </c>
      <c r="I508" s="7" t="s">
        <v>194</v>
      </c>
      <c r="J508" s="9">
        <v>558105.41799999995</v>
      </c>
      <c r="K508" s="9">
        <v>37.634799999999998</v>
      </c>
      <c r="L508" s="9">
        <v>21003975.75</v>
      </c>
    </row>
    <row r="509" spans="1:12" x14ac:dyDescent="0.35">
      <c r="A509" s="6" t="s">
        <v>116</v>
      </c>
      <c r="B509" s="6" t="s">
        <v>214</v>
      </c>
      <c r="C509" s="6" t="s">
        <v>233</v>
      </c>
      <c r="D509" s="7" t="s">
        <v>160</v>
      </c>
      <c r="E509" s="7"/>
      <c r="F509" s="6" t="s">
        <v>187</v>
      </c>
      <c r="G509" s="7" t="s">
        <v>161</v>
      </c>
      <c r="H509" s="8">
        <v>45891</v>
      </c>
      <c r="I509" s="7" t="s">
        <v>195</v>
      </c>
      <c r="J509" s="9">
        <v>328587.16700000002</v>
      </c>
      <c r="K509" s="9">
        <v>37.126800000000003</v>
      </c>
      <c r="L509" s="9">
        <v>12200000</v>
      </c>
    </row>
    <row r="510" spans="1:12" x14ac:dyDescent="0.35">
      <c r="A510" s="6" t="s">
        <v>116</v>
      </c>
      <c r="B510" s="6" t="s">
        <v>214</v>
      </c>
      <c r="C510" s="6" t="s">
        <v>233</v>
      </c>
      <c r="D510" s="7" t="s">
        <v>160</v>
      </c>
      <c r="E510" s="7"/>
      <c r="F510" s="6" t="s">
        <v>187</v>
      </c>
      <c r="G510" s="7" t="s">
        <v>161</v>
      </c>
      <c r="H510" s="8">
        <v>45883</v>
      </c>
      <c r="I510" s="7" t="s">
        <v>195</v>
      </c>
      <c r="J510" s="9">
        <v>1348012.125</v>
      </c>
      <c r="K510" s="9">
        <v>37.089799999999997</v>
      </c>
      <c r="L510" s="9">
        <v>50000000</v>
      </c>
    </row>
    <row r="511" spans="1:12" x14ac:dyDescent="0.35">
      <c r="A511" s="6" t="s">
        <v>116</v>
      </c>
      <c r="B511" s="6" t="s">
        <v>214</v>
      </c>
      <c r="C511" s="6" t="s">
        <v>233</v>
      </c>
      <c r="D511" s="7" t="s">
        <v>160</v>
      </c>
      <c r="E511" s="7"/>
      <c r="F511" s="6" t="s">
        <v>187</v>
      </c>
      <c r="G511" s="7" t="s">
        <v>161</v>
      </c>
      <c r="H511" s="8">
        <v>45873</v>
      </c>
      <c r="I511" s="7" t="s">
        <v>194</v>
      </c>
      <c r="J511" s="9">
        <v>511685.245</v>
      </c>
      <c r="K511" s="9">
        <v>37.016199999999998</v>
      </c>
      <c r="L511" s="9">
        <v>18940453.960000001</v>
      </c>
    </row>
    <row r="512" spans="1:12" x14ac:dyDescent="0.35">
      <c r="A512" s="6" t="s">
        <v>116</v>
      </c>
      <c r="B512" s="6" t="s">
        <v>214</v>
      </c>
      <c r="C512" s="6" t="s">
        <v>233</v>
      </c>
      <c r="D512" s="7" t="s">
        <v>160</v>
      </c>
      <c r="E512" s="7"/>
      <c r="F512" s="6" t="s">
        <v>187</v>
      </c>
      <c r="G512" s="7" t="s">
        <v>161</v>
      </c>
      <c r="H512" s="8">
        <v>45873</v>
      </c>
      <c r="I512" s="7" t="s">
        <v>194</v>
      </c>
      <c r="J512" s="9">
        <v>511685.245</v>
      </c>
      <c r="K512" s="9">
        <v>37.016199999999998</v>
      </c>
      <c r="L512" s="9">
        <v>18940453.960000001</v>
      </c>
    </row>
    <row r="513" spans="1:12" x14ac:dyDescent="0.35">
      <c r="A513" s="6" t="s">
        <v>116</v>
      </c>
      <c r="B513" s="6" t="s">
        <v>214</v>
      </c>
      <c r="C513" s="6" t="s">
        <v>233</v>
      </c>
      <c r="D513" s="7" t="s">
        <v>160</v>
      </c>
      <c r="E513" s="7"/>
      <c r="F513" s="6" t="s">
        <v>187</v>
      </c>
      <c r="G513" s="7" t="s">
        <v>161</v>
      </c>
      <c r="H513" s="8">
        <v>45833</v>
      </c>
      <c r="I513" s="7" t="s">
        <v>195</v>
      </c>
      <c r="J513" s="9">
        <v>511685.245</v>
      </c>
      <c r="K513" s="9">
        <v>36.7395</v>
      </c>
      <c r="L513" s="9">
        <v>18800000</v>
      </c>
    </row>
    <row r="514" spans="1:12" x14ac:dyDescent="0.35">
      <c r="A514" s="6" t="s">
        <v>116</v>
      </c>
      <c r="B514" s="6" t="s">
        <v>214</v>
      </c>
      <c r="C514" s="6" t="s">
        <v>233</v>
      </c>
      <c r="D514" s="7" t="s">
        <v>160</v>
      </c>
      <c r="E514" s="7"/>
      <c r="F514" s="6" t="s">
        <v>187</v>
      </c>
      <c r="G514" s="7" t="s">
        <v>161</v>
      </c>
      <c r="H514" s="8">
        <v>45833</v>
      </c>
      <c r="I514" s="7" t="s">
        <v>195</v>
      </c>
      <c r="J514" s="9">
        <v>511685.245</v>
      </c>
      <c r="K514" s="9">
        <v>36.7395</v>
      </c>
      <c r="L514" s="9">
        <v>18800000</v>
      </c>
    </row>
    <row r="515" spans="1:12" x14ac:dyDescent="0.35">
      <c r="A515" s="6" t="s">
        <v>116</v>
      </c>
      <c r="B515" s="6" t="s">
        <v>213</v>
      </c>
      <c r="C515" s="6" t="s">
        <v>218</v>
      </c>
      <c r="D515" s="6" t="s">
        <v>157</v>
      </c>
      <c r="E515" s="6"/>
      <c r="F515" s="6" t="s">
        <v>187</v>
      </c>
      <c r="G515" s="6" t="s">
        <v>158</v>
      </c>
      <c r="H515" s="8">
        <v>45919</v>
      </c>
      <c r="I515" s="7" t="s">
        <v>195</v>
      </c>
      <c r="J515" s="9">
        <v>193700</v>
      </c>
      <c r="K515" s="9">
        <v>129.16</v>
      </c>
      <c r="L515" s="9">
        <v>45304493</v>
      </c>
    </row>
    <row r="516" spans="1:12" x14ac:dyDescent="0.35">
      <c r="A516" s="6" t="s">
        <v>116</v>
      </c>
      <c r="B516" s="7" t="s">
        <v>114</v>
      </c>
      <c r="C516" s="7" t="s">
        <v>112</v>
      </c>
      <c r="D516" s="7" t="s">
        <v>91</v>
      </c>
      <c r="E516" s="7"/>
      <c r="F516" s="7" t="s">
        <v>185</v>
      </c>
      <c r="G516" s="7" t="s">
        <v>92</v>
      </c>
      <c r="H516" s="8">
        <v>45883</v>
      </c>
      <c r="I516" s="7" t="s">
        <v>195</v>
      </c>
      <c r="J516" s="9">
        <v>86700</v>
      </c>
      <c r="K516" s="9">
        <v>99.51</v>
      </c>
      <c r="L516" s="9">
        <v>8627343.5999999996</v>
      </c>
    </row>
    <row r="517" spans="1:12" x14ac:dyDescent="0.35">
      <c r="A517" s="7" t="s">
        <v>116</v>
      </c>
      <c r="B517" s="7" t="s">
        <v>211</v>
      </c>
      <c r="C517" s="7" t="s">
        <v>220</v>
      </c>
      <c r="D517" s="7" t="s">
        <v>159</v>
      </c>
      <c r="E517" s="7"/>
      <c r="F517" s="7" t="s">
        <v>188</v>
      </c>
      <c r="G517" s="7"/>
      <c r="H517" s="8">
        <v>45981</v>
      </c>
      <c r="I517" s="7" t="s">
        <v>195</v>
      </c>
      <c r="J517" s="9">
        <v>249987.50099999999</v>
      </c>
      <c r="K517" s="9">
        <v>100.00499984997251</v>
      </c>
      <c r="L517" s="9">
        <v>25000000</v>
      </c>
    </row>
    <row r="518" spans="1:12" x14ac:dyDescent="0.35">
      <c r="A518" s="7" t="s">
        <v>116</v>
      </c>
      <c r="B518" s="7" t="s">
        <v>211</v>
      </c>
      <c r="C518" s="7" t="s">
        <v>220</v>
      </c>
      <c r="D518" s="7" t="s">
        <v>159</v>
      </c>
      <c r="E518" s="10"/>
      <c r="F518" s="7" t="s">
        <v>188</v>
      </c>
      <c r="G518" s="7"/>
      <c r="H518" s="8">
        <v>46050</v>
      </c>
      <c r="I518" s="7" t="s">
        <v>195</v>
      </c>
      <c r="J518" s="9">
        <v>129517.27</v>
      </c>
      <c r="K518" s="9">
        <v>96.512225744103461</v>
      </c>
      <c r="L518" s="9">
        <v>12500000</v>
      </c>
    </row>
    <row r="519" spans="1:12" x14ac:dyDescent="0.35">
      <c r="A519" s="7" t="s">
        <v>116</v>
      </c>
      <c r="B519" s="7" t="s">
        <v>211</v>
      </c>
      <c r="C519" s="7" t="s">
        <v>220</v>
      </c>
      <c r="D519" s="12" t="s">
        <v>159</v>
      </c>
      <c r="E519" s="7"/>
      <c r="F519" s="13" t="s">
        <v>188</v>
      </c>
      <c r="G519" s="7"/>
      <c r="H519" s="8">
        <v>46122</v>
      </c>
      <c r="I519" s="7" t="s">
        <v>195</v>
      </c>
      <c r="J519" s="9">
        <v>122274.727</v>
      </c>
      <c r="K519" s="9">
        <v>102.22881135526886</v>
      </c>
      <c r="L519" s="9">
        <v>12500000</v>
      </c>
    </row>
    <row r="520" spans="1:12" x14ac:dyDescent="0.35">
      <c r="E520" s="11"/>
    </row>
  </sheetData>
  <autoFilter ref="A1:L519" xr:uid="{10DD8D7D-9FD3-4B34-BD1A-D08D200D03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Nishtha Agrawal</dc:creator>
  <cp:lastModifiedBy>Aviral Goyal</cp:lastModifiedBy>
  <dcterms:created xsi:type="dcterms:W3CDTF">2026-08-17T06:40:54Z</dcterms:created>
  <dcterms:modified xsi:type="dcterms:W3CDTF">2026-08-18T10:16:23Z</dcterms:modified>
</cp:coreProperties>
</file>